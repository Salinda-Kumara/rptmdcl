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ilankaw\Downloads\"/>
    </mc:Choice>
  </mc:AlternateContent>
  <xr:revisionPtr revIDLastSave="0" documentId="13_ncr:1_{D651BB6F-6A74-43E4-8E9B-FCB12F3ADB1B}" xr6:coauthVersionLast="47" xr6:coauthVersionMax="47" xr10:uidLastSave="{00000000-0000-0000-0000-000000000000}"/>
  <bookViews>
    <workbookView xWindow="-120" yWindow="-120" windowWidth="20730" windowHeight="11040" xr2:uid="{25CFEAF9-E366-46E7-A7CA-54B2F4DA87C8}"/>
  </bookViews>
  <sheets>
    <sheet name="Duty Schedule" sheetId="10" r:id="rId1"/>
    <sheet name="Day Plan" sheetId="3" r:id="rId2"/>
    <sheet name="Batch Plan" sheetId="1" r:id="rId3"/>
    <sheet name="Setup Plan" sheetId="6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52" i="3" l="1"/>
  <c r="P53" i="3"/>
  <c r="P35" i="3"/>
  <c r="P36" i="3"/>
  <c r="R52" i="3"/>
  <c r="P55" i="3"/>
  <c r="R48" i="3"/>
  <c r="P47" i="3"/>
  <c r="P49" i="3"/>
  <c r="P44" i="3"/>
  <c r="P41" i="3"/>
  <c r="P38" i="3"/>
  <c r="R33" i="3"/>
  <c r="R27" i="3"/>
  <c r="P29" i="3"/>
  <c r="P24" i="3"/>
  <c r="P21" i="3"/>
  <c r="P18" i="3"/>
  <c r="R15" i="3"/>
  <c r="P13" i="3"/>
  <c r="P11" i="3"/>
  <c r="R9" i="3"/>
  <c r="R7" i="3"/>
  <c r="P5" i="3"/>
</calcChain>
</file>

<file path=xl/sharedStrings.xml><?xml version="1.0" encoding="utf-8"?>
<sst xmlns="http://schemas.openxmlformats.org/spreadsheetml/2006/main" count="1283" uniqueCount="292">
  <si>
    <t>END SEMESTER EXAMINATION TIMETABLE - June/July 2026</t>
  </si>
  <si>
    <t>BSc. in APPLIED ACCOUNTING (GENERAL / HONOURS DEGREE)/ BACHELOR OF MANAGEMENT IN BUSINESS ANALYTICS DEGREE PROGRAMME</t>
  </si>
  <si>
    <t xml:space="preserve">S. no </t>
  </si>
  <si>
    <t>CODE</t>
  </si>
  <si>
    <t>Exams to be start at</t>
  </si>
  <si>
    <t xml:space="preserve">ESE Date </t>
  </si>
  <si>
    <t>ESE Date Weekdays</t>
  </si>
  <si>
    <t>Revised date</t>
  </si>
  <si>
    <t>Intake</t>
  </si>
  <si>
    <t>Course Code</t>
  </si>
  <si>
    <t>Course</t>
  </si>
  <si>
    <t>Expected Count</t>
  </si>
  <si>
    <t>Session 1</t>
  </si>
  <si>
    <t>Session 2</t>
  </si>
  <si>
    <t>Session 3</t>
  </si>
  <si>
    <t>Location</t>
  </si>
  <si>
    <t>Chief Examiner</t>
  </si>
  <si>
    <t>Supervisor</t>
  </si>
  <si>
    <t>Invigilator</t>
  </si>
  <si>
    <t>Supporting Staff</t>
  </si>
  <si>
    <t>2026/165</t>
  </si>
  <si>
    <t>28. June</t>
  </si>
  <si>
    <t>06.28.2026</t>
  </si>
  <si>
    <t xml:space="preserve">3B WE/MOHE WE </t>
  </si>
  <si>
    <t>BMBA1212</t>
  </si>
  <si>
    <t>Human Resource Management</t>
  </si>
  <si>
    <t>9.00-11.30am</t>
  </si>
  <si>
    <t>Level 6 - CA Sri Lanka</t>
  </si>
  <si>
    <t>Hasitha/ Sandun</t>
  </si>
  <si>
    <t>Ishanka/ Sasini/Ex. Invigilator 1/  Ex. Invigilator 2</t>
  </si>
  <si>
    <t>Roshan</t>
  </si>
  <si>
    <t>2026/167</t>
  </si>
  <si>
    <t>19B WE/ MOHE WE</t>
  </si>
  <si>
    <t>BSAA 12013</t>
  </si>
  <si>
    <t>Information Technology in Business</t>
  </si>
  <si>
    <t>9.00-12.00pm</t>
  </si>
  <si>
    <t>Level 1 Main Hall - CA Sri Lanka</t>
  </si>
  <si>
    <t>2026/168</t>
  </si>
  <si>
    <t>17B/MOHE WD WE</t>
  </si>
  <si>
    <t>BSAA 32013</t>
  </si>
  <si>
    <t>Governance, Ethics and Risk Management</t>
  </si>
  <si>
    <t>1.00- 4.00pm</t>
  </si>
  <si>
    <r>
      <rPr>
        <sz val="10"/>
        <color rgb="FF000000"/>
        <rFont val="Aptos Narrow"/>
        <scheme val="minor"/>
      </rPr>
      <t xml:space="preserve">Level 1 Main Hall - CA Sri Lanka / </t>
    </r>
    <r>
      <rPr>
        <b/>
        <sz val="10"/>
        <color rgb="FFFF0000"/>
        <rFont val="Aptos Narrow"/>
        <scheme val="minor"/>
      </rPr>
      <t>Level 6  - CASL _</t>
    </r>
    <r>
      <rPr>
        <sz val="10"/>
        <color rgb="FF000000"/>
        <rFont val="Aptos Narrow"/>
        <scheme val="minor"/>
      </rPr>
      <t xml:space="preserve"> </t>
    </r>
    <r>
      <rPr>
        <b/>
        <sz val="10"/>
        <color rgb="FFFF0000"/>
        <rFont val="Aptos Narrow"/>
        <scheme val="minor"/>
      </rPr>
      <t>(Only Repeat/Medical Students)</t>
    </r>
  </si>
  <si>
    <t>2026/169</t>
  </si>
  <si>
    <t>07.04.2026</t>
  </si>
  <si>
    <t>BMBA1223</t>
  </si>
  <si>
    <t xml:space="preserve">Statistical Methods for Management Decisions </t>
  </si>
  <si>
    <t>Sirini Punsara</t>
  </si>
  <si>
    <t>Pasindu/ Sandun</t>
  </si>
  <si>
    <t>Ishanka/ Sasini/ Niyumi/ Nimansha</t>
  </si>
  <si>
    <t>2026/170</t>
  </si>
  <si>
    <t>BSAA 12023</t>
  </si>
  <si>
    <t>Cost &amp; Management Accounting</t>
  </si>
  <si>
    <t>2026/171</t>
  </si>
  <si>
    <t>BSAA 32024</t>
  </si>
  <si>
    <t>Corporate Taxation</t>
  </si>
  <si>
    <t>2026/172</t>
  </si>
  <si>
    <t>07.05.2026</t>
  </si>
  <si>
    <t>BMBA1232</t>
  </si>
  <si>
    <t>Principles of Economics</t>
  </si>
  <si>
    <t>9.00- 11.30am</t>
  </si>
  <si>
    <t>Supun Madhushanka</t>
  </si>
  <si>
    <t>Thilanka/ Ishanka/ Sasini/ Niyumi</t>
  </si>
  <si>
    <t>2026/173</t>
  </si>
  <si>
    <t>BSAA 12033</t>
  </si>
  <si>
    <t>Marketing Management</t>
  </si>
  <si>
    <t>2026/174</t>
  </si>
  <si>
    <t>05. July</t>
  </si>
  <si>
    <t>18B WE</t>
  </si>
  <si>
    <t>BSAA 22023</t>
  </si>
  <si>
    <t>Advanced Management Accounting</t>
  </si>
  <si>
    <t>2026/175</t>
  </si>
  <si>
    <t>2B WE/ WD</t>
  </si>
  <si>
    <t>BMBA2212</t>
  </si>
  <si>
    <t>Customer Analytics</t>
  </si>
  <si>
    <t>1.00-3.30pm</t>
  </si>
  <si>
    <t>2026/176</t>
  </si>
  <si>
    <t>06. July</t>
  </si>
  <si>
    <t>07.07.2026</t>
  </si>
  <si>
    <t>3A WD/MOHE WD</t>
  </si>
  <si>
    <t>BMBA2112</t>
  </si>
  <si>
    <t>Business Analytical Techniques</t>
  </si>
  <si>
    <t>Isuri Samarawickrama</t>
  </si>
  <si>
    <t>Hasitha</t>
  </si>
  <si>
    <t>Thilanka/ Niyumi/ Ishanka/ Sasini/Vajira</t>
  </si>
  <si>
    <t>2026/177</t>
  </si>
  <si>
    <t>19A WD/MOHE WD</t>
  </si>
  <si>
    <t>BSAA 21013</t>
  </si>
  <si>
    <t>Financial Reporting</t>
  </si>
  <si>
    <t>2026/178</t>
  </si>
  <si>
    <t>07.09.2026</t>
  </si>
  <si>
    <t>BMBA2123</t>
  </si>
  <si>
    <t>Financial Management</t>
  </si>
  <si>
    <t>Nishanthini Simon</t>
  </si>
  <si>
    <t>2026/179</t>
  </si>
  <si>
    <t>BSAA 21032</t>
  </si>
  <si>
    <t>2026/180</t>
  </si>
  <si>
    <t>07.14.2026</t>
  </si>
  <si>
    <t>BMBA2132</t>
  </si>
  <si>
    <t>Dilshan Dissanayake</t>
  </si>
  <si>
    <t>Thilanka/ Niyumi/ Ishanka/ Sasini</t>
  </si>
  <si>
    <t>2026/181</t>
  </si>
  <si>
    <t>BSAA 21023</t>
  </si>
  <si>
    <t>Business Processes, Controls &amp; Audits</t>
  </si>
  <si>
    <t>2026/182</t>
  </si>
  <si>
    <t>07.11.2026</t>
  </si>
  <si>
    <t>BSAA 32034</t>
  </si>
  <si>
    <t>Package Based Data Analysis</t>
  </si>
  <si>
    <t>Lakdinithi Subasinghe</t>
  </si>
  <si>
    <t>Ishanka/ Sasini/ Niyumi/ Viraj/ Vajira/Salinda</t>
  </si>
  <si>
    <t>2026/183</t>
  </si>
  <si>
    <t>BMBA1242</t>
  </si>
  <si>
    <t>Leadership in Organizations</t>
  </si>
  <si>
    <t>1.00- 3.30pm</t>
  </si>
  <si>
    <t>2026/184</t>
  </si>
  <si>
    <t>BSAA 12042</t>
  </si>
  <si>
    <t>Business Economics</t>
  </si>
  <si>
    <t>2026/185</t>
  </si>
  <si>
    <t>BSAA 22033</t>
  </si>
  <si>
    <t>Audit &amp; Assurance</t>
  </si>
  <si>
    <t>9.00 - 12.00am</t>
  </si>
  <si>
    <t>2026/186</t>
  </si>
  <si>
    <t>BMBA2233</t>
  </si>
  <si>
    <t>Data Science and Visualization for Business (Practical)</t>
  </si>
  <si>
    <t>9.00 - 12.00pm</t>
  </si>
  <si>
    <t>IT Lab SAB Campus</t>
  </si>
  <si>
    <t>2026/187</t>
  </si>
  <si>
    <t>07.12.2026</t>
  </si>
  <si>
    <t>BMBA1262</t>
  </si>
  <si>
    <t>Accounting Information Systems</t>
  </si>
  <si>
    <t>Ishara Ranasinghe</t>
  </si>
  <si>
    <t>Shashinika/ Sandun</t>
  </si>
  <si>
    <t>Thilanka/ Ishanka/ 
Sasini/Niyumi</t>
  </si>
  <si>
    <t>2026/188</t>
  </si>
  <si>
    <t>BSAA 12062</t>
  </si>
  <si>
    <t>Business Taxation</t>
  </si>
  <si>
    <t>2026/189</t>
  </si>
  <si>
    <t>BSAA 22043</t>
  </si>
  <si>
    <t>Operations Management</t>
  </si>
  <si>
    <t>2026/190</t>
  </si>
  <si>
    <t>BMBA2262</t>
  </si>
  <si>
    <t>Competitor Analysis and Market Intelligence</t>
  </si>
  <si>
    <t>2026/191</t>
  </si>
  <si>
    <t>07.16.2026</t>
  </si>
  <si>
    <t>BMBA2153</t>
  </si>
  <si>
    <t>Cost and Management Accounting</t>
  </si>
  <si>
    <t>2026/192</t>
  </si>
  <si>
    <t>BSAA 21053</t>
  </si>
  <si>
    <t>Business Finance</t>
  </si>
  <si>
    <t>2026/193</t>
  </si>
  <si>
    <t>07.21.2026</t>
  </si>
  <si>
    <t>BMBA2142</t>
  </si>
  <si>
    <t>Descriptive Analytics &amp; Data Management</t>
  </si>
  <si>
    <t>2026/194</t>
  </si>
  <si>
    <t>BSAA 21042</t>
  </si>
  <si>
    <t>Management Information Systems</t>
  </si>
  <si>
    <t>2026/195</t>
  </si>
  <si>
    <t>07.23.2026</t>
  </si>
  <si>
    <t>BMBA2163</t>
  </si>
  <si>
    <t>Digital Transformation</t>
  </si>
  <si>
    <t>2026/196</t>
  </si>
  <si>
    <t>BSAA 21062</t>
  </si>
  <si>
    <t>Business Communication &amp; Skill Development II</t>
  </si>
  <si>
    <t>2026/197</t>
  </si>
  <si>
    <t>07.18.2026</t>
  </si>
  <si>
    <t>BMBA1253</t>
  </si>
  <si>
    <t>Foundations of Business Analytics (Practical)</t>
  </si>
  <si>
    <t>SAB IT Lab</t>
  </si>
  <si>
    <t>Nipunee Jayasuriya</t>
  </si>
  <si>
    <t>Thilanka/ Niyumi/ Ishanka/ Sasini/Salinda</t>
  </si>
  <si>
    <t>2026/199</t>
  </si>
  <si>
    <t>BMBA2223</t>
  </si>
  <si>
    <t>Predictive Analytics with Excel (Practical)</t>
  </si>
  <si>
    <t>1.00-4.00pm</t>
  </si>
  <si>
    <t>2026/198</t>
  </si>
  <si>
    <t>BSAA 12052</t>
  </si>
  <si>
    <t>Business Statistics &amp; Forecasting</t>
  </si>
  <si>
    <t>Isuri Chandeepa</t>
  </si>
  <si>
    <t>2026/200</t>
  </si>
  <si>
    <t>BSAA 22053</t>
  </si>
  <si>
    <t>Corporate Law</t>
  </si>
  <si>
    <t>2026/201</t>
  </si>
  <si>
    <t>07.19.2026</t>
  </si>
  <si>
    <t>BSAA 22013</t>
  </si>
  <si>
    <t>Accounting in Digital Environment (Practical)</t>
  </si>
  <si>
    <t>Malintha Perera</t>
  </si>
  <si>
    <t>Thilanka/ Sasini/Salinda</t>
  </si>
  <si>
    <t>2026/202</t>
  </si>
  <si>
    <t>BMBA2253</t>
  </si>
  <si>
    <t>Operations Analytics</t>
  </si>
  <si>
    <t>SAB Campus</t>
  </si>
  <si>
    <t>2026/203</t>
  </si>
  <si>
    <t>07.25.2026</t>
  </si>
  <si>
    <t>BMBA2243</t>
  </si>
  <si>
    <t>Big Data Analytics (Practical)</t>
  </si>
  <si>
    <t>Sandun</t>
  </si>
  <si>
    <t>Ishanka/ Niyumi/Salinda</t>
  </si>
  <si>
    <t>2026/204</t>
  </si>
  <si>
    <t>07.29.2026</t>
  </si>
  <si>
    <t>BSAA 32054</t>
  </si>
  <si>
    <t>Internship in Accounting II</t>
  </si>
  <si>
    <t>Name of the Lecturer(First Examiner)</t>
  </si>
  <si>
    <t>Second Examiner</t>
  </si>
  <si>
    <t>Expected Session End Date</t>
  </si>
  <si>
    <t xml:space="preserve">No of Students </t>
  </si>
  <si>
    <t>Prof.Aruna Gamage</t>
  </si>
  <si>
    <t>Prof. Aruna Gamage</t>
  </si>
  <si>
    <t>Ms.Nishanthini Simon</t>
  </si>
  <si>
    <t>Mr. Ramesh Rajasuriya</t>
  </si>
  <si>
    <t>1.00-3.00pm</t>
  </si>
  <si>
    <t>Mr. Supun Madushanka</t>
  </si>
  <si>
    <t>Ms. Dilini Aruppala</t>
  </si>
  <si>
    <t>Ms. Ishara Ranasinghe</t>
  </si>
  <si>
    <t>Prof. K A S P Kaluarachchi</t>
  </si>
  <si>
    <t>Mr. Hasitha Sanjeewa</t>
  </si>
  <si>
    <t>Dr. Pasan Edirisinghe</t>
  </si>
  <si>
    <t>Ms. Isuri Samarawickrama</t>
  </si>
  <si>
    <t>Mr. Malintha Perera</t>
  </si>
  <si>
    <t>Ms. Nipunee Jayasuriya</t>
  </si>
  <si>
    <t>Ms. Nishanthini Simon</t>
  </si>
  <si>
    <t>Ms. Nathasha Kaumadi/Ms.Wathsala Wimansi</t>
  </si>
  <si>
    <t>Mr. Rangajeewa Herath</t>
  </si>
  <si>
    <t>Mr.Uditha Bandara</t>
  </si>
  <si>
    <t>Dr. Harsha Tissera</t>
  </si>
  <si>
    <t>Ms. Sachini Madushani</t>
  </si>
  <si>
    <t>Ms. Mekhala Avanthi</t>
  </si>
  <si>
    <t>Mr. Saman Dissanayake</t>
  </si>
  <si>
    <t>Mr.Himal Muthunayake/Mr. Malinda Herath</t>
  </si>
  <si>
    <t>Dr. Chathuri Senarath</t>
  </si>
  <si>
    <t>Mr. Prabath Weerasinghe</t>
  </si>
  <si>
    <t>Ms. Nayananjalee Jayasekara</t>
  </si>
  <si>
    <t>Prof. Roshan Ajward</t>
  </si>
  <si>
    <t>Dr. Isuru Manawadu</t>
  </si>
  <si>
    <t>Mr. Dilshan Dissanayake</t>
  </si>
  <si>
    <t>Mr. M B G Wimalarathna</t>
  </si>
  <si>
    <t>Snr. Prof. A Jayamaha</t>
  </si>
  <si>
    <t>Prof. M P P Dharmadasa</t>
  </si>
  <si>
    <t>Mr. Nihal Chandrathilake</t>
  </si>
  <si>
    <t>Dr. Thusitha Abesekara</t>
  </si>
  <si>
    <t>2B WE</t>
  </si>
  <si>
    <t xml:space="preserve">Mr. Nipun Hewapathirana/Ms.Isuri Udara </t>
  </si>
  <si>
    <t>Mr. Thilina Karunanayake</t>
  </si>
  <si>
    <t>Dr. P D Thalagala</t>
  </si>
  <si>
    <t>Data Science and Visualization for Business</t>
  </si>
  <si>
    <t>Big Data Analytics</t>
  </si>
  <si>
    <t>Mr. Malinda Herath</t>
  </si>
  <si>
    <t>Mr. Nipun Hewapathirana</t>
  </si>
  <si>
    <t>Ms. Nishanthini/Ms.Isuri / Ms.Nipunee/Ms.Ishara/Ms.Sachini</t>
  </si>
  <si>
    <t>07.08.2026</t>
  </si>
  <si>
    <t>Ms. Isuri Chandeepa</t>
  </si>
  <si>
    <t>Dr. Mudith Sujeewa</t>
  </si>
  <si>
    <t>Prof. Ruwan Abesekara</t>
  </si>
  <si>
    <t>Mr. Dilshan Dissanayake/Ms.Lakdinithi Subasinghe</t>
  </si>
  <si>
    <t>4.00-7.00pm</t>
  </si>
  <si>
    <t>Mr. Upendra Wijesinghe</t>
  </si>
  <si>
    <t>Mr. Darshan Pathmanathan</t>
  </si>
  <si>
    <t>Mr. Pubudu Dissanayake</t>
  </si>
  <si>
    <t>Ms. Sirini Punsara</t>
  </si>
  <si>
    <t>Dr. P A N S Anuradha</t>
  </si>
  <si>
    <t>Ms. Chamika Dahanayake</t>
  </si>
  <si>
    <t>Ms. Umeshi Rabel</t>
  </si>
  <si>
    <t>Session 1 Total Expected Count</t>
  </si>
  <si>
    <t>Session 2 Total Expected Count</t>
  </si>
  <si>
    <r>
      <rPr>
        <sz val="10"/>
        <color rgb="FF000000"/>
        <rFont val="Aptos Narrow"/>
        <scheme val="minor"/>
      </rPr>
      <t xml:space="preserve">Level 1 Main Hall - CA Sri Lanka / </t>
    </r>
    <r>
      <rPr>
        <b/>
        <sz val="10"/>
        <color rgb="FFFF0000"/>
        <rFont val="Aptos Narrow"/>
        <scheme val="minor"/>
      </rPr>
      <t>Level 6</t>
    </r>
    <r>
      <rPr>
        <sz val="10"/>
        <color rgb="FF000000"/>
        <rFont val="Aptos Narrow"/>
        <scheme val="minor"/>
      </rPr>
      <t xml:space="preserve"> </t>
    </r>
    <r>
      <rPr>
        <b/>
        <sz val="10"/>
        <color rgb="FFFF0000"/>
        <rFont val="Aptos Narrow"/>
        <scheme val="minor"/>
      </rPr>
      <t>(Only Repeat/Medical Students)</t>
    </r>
  </si>
  <si>
    <t>Exam Number</t>
  </si>
  <si>
    <t xml:space="preserve">Admission Issueing Date </t>
  </si>
  <si>
    <t>Student Count</t>
  </si>
  <si>
    <t>22nd June</t>
  </si>
  <si>
    <t xml:space="preserve">3B WE - </t>
  </si>
  <si>
    <t>1.00 - 4.00pm</t>
  </si>
  <si>
    <t xml:space="preserve">3B WE MOHE  (HONS)WE - </t>
  </si>
  <si>
    <t>1.00 - 3.30pm</t>
  </si>
  <si>
    <t xml:space="preserve">3B WE MOHE (GEN) WE - </t>
  </si>
  <si>
    <t>19B WE</t>
  </si>
  <si>
    <t>19B MOHE (HONS) WE</t>
  </si>
  <si>
    <t>19B MOHE  (GEN)  WE</t>
  </si>
  <si>
    <t>17B WE / 17B WD</t>
  </si>
  <si>
    <t>32 / 15</t>
  </si>
  <si>
    <t>17B  MOHE  WD</t>
  </si>
  <si>
    <t>17B  MOHE  WE</t>
  </si>
  <si>
    <t xml:space="preserve">Accounting in Digital Environment (Practical) </t>
  </si>
  <si>
    <t xml:space="preserve"> </t>
  </si>
  <si>
    <t>2B WE/WD</t>
  </si>
  <si>
    <t>2B WD</t>
  </si>
  <si>
    <t>3A MOHE WD</t>
  </si>
  <si>
    <t>19A WD</t>
  </si>
  <si>
    <t>19A MOHE WD</t>
  </si>
  <si>
    <t>Data Science and Visualization for Business(Practical)</t>
  </si>
  <si>
    <t xml:space="preserve"> Dilshan Dissanayake &amp;  Nipunee Jayasuriya</t>
  </si>
  <si>
    <t xml:space="preserve">SAB IT Lab </t>
  </si>
  <si>
    <t xml:space="preserve">Competitor Analysis and Market Intelligence </t>
  </si>
  <si>
    <t>New Building  Ranjanaaz - 7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</si>
</sst>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Calibri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name val="Calibri"/>
      <family val="2"/>
    </font>
    <font>
      <b/>
      <sz val="10"/>
      <color rgb="FF000000"/>
      <name val="Calibri"/>
    </font>
    <font>
      <sz val="11"/>
      <color rgb="FF000000"/>
      <name val="Aptos Narrow"/>
      <charset val="1"/>
    </font>
    <font>
      <b/>
      <sz val="11"/>
      <color rgb="FFFF0000"/>
      <name val="Aptos Narrow"/>
      <charset val="1"/>
    </font>
    <font>
      <b/>
      <sz val="11"/>
      <color rgb="FFFF0000"/>
      <name val="Aptos Narrow"/>
      <family val="2"/>
      <scheme val="minor"/>
    </font>
    <font>
      <b/>
      <sz val="10"/>
      <color rgb="FF000000"/>
      <name val="Calibri"/>
      <charset val="1"/>
    </font>
    <font>
      <b/>
      <sz val="10"/>
      <name val="Calibri"/>
    </font>
    <font>
      <sz val="10"/>
      <color theme="1"/>
      <name val="Arial"/>
    </font>
    <font>
      <b/>
      <sz val="9"/>
      <color rgb="FF000000"/>
      <name val="Calibri"/>
      <family val="2"/>
    </font>
    <font>
      <sz val="10"/>
      <color rgb="FF000000"/>
      <name val="Aptos Narrow"/>
      <scheme val="minor"/>
    </font>
    <font>
      <b/>
      <sz val="10"/>
      <color rgb="FFFF0000"/>
      <name val="Aptos Narrow"/>
      <scheme val="minor"/>
    </font>
    <font>
      <sz val="10"/>
      <color theme="1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/>
      <bottom style="thick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ck">
        <color rgb="FF000000"/>
      </bottom>
      <diagonal/>
    </border>
    <border>
      <left/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ck">
        <color rgb="FF000000"/>
      </top>
      <bottom/>
      <diagonal/>
    </border>
    <border>
      <left style="thin">
        <color indexed="64"/>
      </left>
      <right/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 style="thick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 style="thick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9" fontId="2" fillId="0" borderId="1" xfId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0" fillId="0" borderId="5" xfId="0" applyBorder="1"/>
    <xf numFmtId="0" fontId="0" fillId="0" borderId="4" xfId="0" applyBorder="1"/>
    <xf numFmtId="0" fontId="0" fillId="2" borderId="4" xfId="0" applyFill="1" applyBorder="1"/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/>
    </xf>
    <xf numFmtId="0" fontId="3" fillId="0" borderId="5" xfId="0" applyFont="1" applyBorder="1" applyAlignment="1">
      <alignment horizontal="left" vertical="center" wrapText="1" indent="1"/>
    </xf>
    <xf numFmtId="0" fontId="0" fillId="0" borderId="1" xfId="0" applyBorder="1" applyAlignment="1">
      <alignment wrapText="1"/>
    </xf>
    <xf numFmtId="0" fontId="0" fillId="3" borderId="1" xfId="0" applyFill="1" applyBorder="1"/>
    <xf numFmtId="0" fontId="0" fillId="0" borderId="8" xfId="0" applyBorder="1"/>
    <xf numFmtId="0" fontId="0" fillId="0" borderId="3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3" borderId="9" xfId="0" applyFill="1" applyBorder="1"/>
    <xf numFmtId="0" fontId="0" fillId="3" borderId="12" xfId="0" applyFill="1" applyBorder="1"/>
    <xf numFmtId="0" fontId="0" fillId="3" borderId="13" xfId="0" applyFill="1" applyBorder="1"/>
    <xf numFmtId="0" fontId="0" fillId="0" borderId="14" xfId="0" applyBorder="1"/>
    <xf numFmtId="0" fontId="0" fillId="0" borderId="0" xfId="0" applyAlignment="1">
      <alignment horizontal="left" vertical="center"/>
    </xf>
    <xf numFmtId="0" fontId="2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14" xfId="0" applyFill="1" applyBorder="1"/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4" xfId="0" applyFill="1" applyBorder="1"/>
    <xf numFmtId="0" fontId="0" fillId="4" borderId="3" xfId="0" applyFill="1" applyBorder="1" applyAlignment="1">
      <alignment vertical="center"/>
    </xf>
    <xf numFmtId="0" fontId="0" fillId="4" borderId="4" xfId="0" applyFill="1" applyBorder="1" applyAlignment="1">
      <alignment vertical="center"/>
    </xf>
    <xf numFmtId="0" fontId="0" fillId="4" borderId="1" xfId="0" applyFill="1" applyBorder="1"/>
    <xf numFmtId="0" fontId="0" fillId="4" borderId="0" xfId="0" applyFill="1"/>
    <xf numFmtId="0" fontId="0" fillId="4" borderId="2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3" fillId="4" borderId="1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horizontal="left" vertical="center" wrapText="1" indent="1"/>
    </xf>
    <xf numFmtId="0" fontId="0" fillId="4" borderId="9" xfId="0" applyFill="1" applyBorder="1"/>
    <xf numFmtId="0" fontId="0" fillId="0" borderId="2" xfId="0" applyBorder="1"/>
    <xf numFmtId="0" fontId="0" fillId="0" borderId="15" xfId="0" applyBorder="1"/>
    <xf numFmtId="0" fontId="0" fillId="4" borderId="2" xfId="0" applyFill="1" applyBorder="1"/>
    <xf numFmtId="0" fontId="3" fillId="4" borderId="2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horizontal="left" vertical="center" wrapText="1" indent="1"/>
    </xf>
    <xf numFmtId="0" fontId="0" fillId="0" borderId="9" xfId="0" applyBorder="1" applyAlignment="1">
      <alignment horizontal="left" vertical="center"/>
    </xf>
    <xf numFmtId="0" fontId="0" fillId="0" borderId="12" xfId="0" applyBorder="1"/>
    <xf numFmtId="0" fontId="0" fillId="0" borderId="9" xfId="0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0" fillId="4" borderId="9" xfId="0" applyFill="1" applyBorder="1" applyAlignment="1">
      <alignment vertical="center"/>
    </xf>
    <xf numFmtId="0" fontId="0" fillId="4" borderId="16" xfId="0" applyFill="1" applyBorder="1"/>
    <xf numFmtId="0" fontId="0" fillId="0" borderId="17" xfId="0" applyBorder="1"/>
    <xf numFmtId="0" fontId="0" fillId="0" borderId="18" xfId="0" applyBorder="1"/>
    <xf numFmtId="0" fontId="0" fillId="0" borderId="16" xfId="0" applyBorder="1"/>
    <xf numFmtId="0" fontId="0" fillId="4" borderId="8" xfId="0" applyFill="1" applyBorder="1"/>
    <xf numFmtId="0" fontId="0" fillId="4" borderId="17" xfId="0" applyFill="1" applyBorder="1"/>
    <xf numFmtId="0" fontId="0" fillId="4" borderId="18" xfId="0" applyFill="1" applyBorder="1"/>
    <xf numFmtId="0" fontId="0" fillId="0" borderId="19" xfId="0" applyBorder="1"/>
    <xf numFmtId="0" fontId="0" fillId="4" borderId="19" xfId="0" applyFill="1" applyBorder="1"/>
    <xf numFmtId="0" fontId="0" fillId="0" borderId="12" xfId="0" applyBorder="1" applyAlignment="1">
      <alignment vertical="center"/>
    </xf>
    <xf numFmtId="0" fontId="0" fillId="4" borderId="15" xfId="0" applyFill="1" applyBorder="1"/>
    <xf numFmtId="0" fontId="0" fillId="4" borderId="3" xfId="0" applyFill="1" applyBorder="1"/>
    <xf numFmtId="0" fontId="0" fillId="4" borderId="7" xfId="0" applyFill="1" applyBorder="1"/>
    <xf numFmtId="0" fontId="0" fillId="4" borderId="12" xfId="0" applyFill="1" applyBorder="1" applyAlignment="1">
      <alignment vertical="center"/>
    </xf>
    <xf numFmtId="0" fontId="3" fillId="4" borderId="3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vertical="center" wrapText="1" indent="1"/>
    </xf>
    <xf numFmtId="0" fontId="2" fillId="0" borderId="0" xfId="0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4" borderId="12" xfId="0" applyFill="1" applyBorder="1" applyAlignment="1">
      <alignment horizontal="left" vertical="center"/>
    </xf>
    <xf numFmtId="0" fontId="0" fillId="4" borderId="12" xfId="0" applyFill="1" applyBorder="1"/>
    <xf numFmtId="0" fontId="3" fillId="4" borderId="12" xfId="0" applyFont="1" applyFill="1" applyBorder="1" applyAlignment="1">
      <alignment vertical="center" wrapText="1"/>
    </xf>
    <xf numFmtId="0" fontId="3" fillId="4" borderId="12" xfId="0" applyFont="1" applyFill="1" applyBorder="1" applyAlignment="1">
      <alignment horizontal="left" vertical="center" wrapText="1" indent="1"/>
    </xf>
    <xf numFmtId="0" fontId="3" fillId="0" borderId="9" xfId="0" applyFont="1" applyBorder="1" applyAlignment="1">
      <alignment vertical="top" wrapText="1" inden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14" xfId="0" applyFill="1" applyBorder="1"/>
    <xf numFmtId="0" fontId="0" fillId="5" borderId="9" xfId="0" applyFill="1" applyBorder="1"/>
    <xf numFmtId="0" fontId="3" fillId="0" borderId="8" xfId="0" applyFont="1" applyBorder="1" applyAlignment="1">
      <alignment vertical="center" wrapText="1"/>
    </xf>
    <xf numFmtId="0" fontId="3" fillId="0" borderId="11" xfId="0" applyFont="1" applyBorder="1" applyAlignment="1">
      <alignment vertical="center" wrapText="1"/>
    </xf>
    <xf numFmtId="0" fontId="9" fillId="0" borderId="4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9" fillId="0" borderId="28" xfId="0" applyFont="1" applyBorder="1" applyAlignment="1">
      <alignment vertical="center"/>
    </xf>
    <xf numFmtId="0" fontId="0" fillId="0" borderId="29" xfId="0" applyBorder="1"/>
    <xf numFmtId="0" fontId="0" fillId="0" borderId="30" xfId="0" applyBorder="1"/>
    <xf numFmtId="0" fontId="7" fillId="0" borderId="12" xfId="0" applyFont="1" applyBorder="1" applyAlignment="1">
      <alignment vertical="center" wrapText="1"/>
    </xf>
    <xf numFmtId="0" fontId="8" fillId="0" borderId="12" xfId="0" applyFont="1" applyBorder="1" applyAlignment="1">
      <alignment vertical="center"/>
    </xf>
    <xf numFmtId="0" fontId="0" fillId="6" borderId="9" xfId="0" applyFill="1" applyBorder="1"/>
    <xf numFmtId="0" fontId="0" fillId="0" borderId="7" xfId="0" applyBorder="1" applyAlignment="1">
      <alignment vertical="center"/>
    </xf>
    <xf numFmtId="0" fontId="2" fillId="5" borderId="8" xfId="0" applyFont="1" applyFill="1" applyBorder="1" applyAlignment="1">
      <alignment horizontal="center" vertical="center" wrapText="1"/>
    </xf>
    <xf numFmtId="0" fontId="0" fillId="0" borderId="28" xfId="0" applyBorder="1"/>
    <xf numFmtId="0" fontId="0" fillId="7" borderId="9" xfId="0" applyFill="1" applyBorder="1"/>
    <xf numFmtId="0" fontId="4" fillId="0" borderId="31" xfId="0" applyFont="1" applyBorder="1" applyAlignment="1">
      <alignment horizontal="left" vertical="center"/>
    </xf>
    <xf numFmtId="0" fontId="4" fillId="0" borderId="9" xfId="0" applyFont="1" applyBorder="1" applyAlignment="1">
      <alignment horizontal="center" vertical="center" wrapText="1"/>
    </xf>
    <xf numFmtId="0" fontId="9" fillId="4" borderId="9" xfId="0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4" borderId="9" xfId="0" applyFont="1" applyFill="1" applyBorder="1" applyAlignment="1">
      <alignment horizontal="center"/>
    </xf>
    <xf numFmtId="0" fontId="0" fillId="0" borderId="32" xfId="0" applyBorder="1"/>
    <xf numFmtId="0" fontId="0" fillId="4" borderId="33" xfId="0" applyFill="1" applyBorder="1"/>
    <xf numFmtId="0" fontId="0" fillId="4" borderId="34" xfId="0" applyFill="1" applyBorder="1"/>
    <xf numFmtId="0" fontId="0" fillId="4" borderId="35" xfId="0" applyFill="1" applyBorder="1"/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8" borderId="9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/>
    </xf>
    <xf numFmtId="0" fontId="2" fillId="8" borderId="9" xfId="0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4" borderId="31" xfId="0" applyFont="1" applyFill="1" applyBorder="1" applyAlignment="1">
      <alignment horizontal="center" vertical="center"/>
    </xf>
    <xf numFmtId="0" fontId="9" fillId="0" borderId="36" xfId="0" applyFont="1" applyBorder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9" fillId="4" borderId="37" xfId="0" applyFont="1" applyFill="1" applyBorder="1" applyAlignment="1">
      <alignment horizontal="center" vertical="center"/>
    </xf>
    <xf numFmtId="0" fontId="9" fillId="0" borderId="35" xfId="0" applyFont="1" applyBorder="1" applyAlignment="1">
      <alignment horizontal="center" vertical="center"/>
    </xf>
    <xf numFmtId="0" fontId="9" fillId="4" borderId="31" xfId="0" applyFont="1" applyFill="1" applyBorder="1" applyAlignment="1">
      <alignment horizontal="center"/>
    </xf>
    <xf numFmtId="9" fontId="2" fillId="0" borderId="8" xfId="1" applyFont="1" applyBorder="1" applyAlignment="1">
      <alignment horizontal="center" vertical="center" wrapText="1"/>
    </xf>
    <xf numFmtId="9" fontId="2" fillId="8" borderId="8" xfId="1" applyFont="1" applyFill="1" applyBorder="1" applyAlignment="1">
      <alignment horizontal="center" vertical="center" wrapText="1"/>
    </xf>
    <xf numFmtId="0" fontId="0" fillId="8" borderId="19" xfId="0" applyFill="1" applyBorder="1"/>
    <xf numFmtId="0" fontId="0" fillId="8" borderId="8" xfId="0" applyFill="1" applyBorder="1"/>
    <xf numFmtId="0" fontId="0" fillId="8" borderId="32" xfId="0" applyFill="1" applyBorder="1"/>
    <xf numFmtId="0" fontId="0" fillId="8" borderId="34" xfId="0" applyFill="1" applyBorder="1"/>
    <xf numFmtId="0" fontId="0" fillId="8" borderId="9" xfId="0" applyFill="1" applyBorder="1"/>
    <xf numFmtId="0" fontId="10" fillId="8" borderId="0" xfId="0" applyFont="1" applyFill="1" applyAlignment="1">
      <alignment horizontal="center" vertical="center" wrapText="1"/>
    </xf>
    <xf numFmtId="0" fontId="0" fillId="8" borderId="1" xfId="0" applyFill="1" applyBorder="1" applyAlignment="1">
      <alignment horizontal="center" vertical="center"/>
    </xf>
    <xf numFmtId="0" fontId="0" fillId="8" borderId="4" xfId="0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9" fillId="2" borderId="31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0" fillId="2" borderId="8" xfId="0" applyFill="1" applyBorder="1"/>
    <xf numFmtId="0" fontId="0" fillId="2" borderId="1" xfId="0" applyFill="1" applyBorder="1"/>
    <xf numFmtId="0" fontId="0" fillId="2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8" borderId="38" xfId="0" applyFill="1" applyBorder="1"/>
    <xf numFmtId="0" fontId="0" fillId="4" borderId="4" xfId="0" applyFill="1" applyBorder="1" applyAlignment="1">
      <alignment horizontal="center" vertical="center"/>
    </xf>
    <xf numFmtId="0" fontId="0" fillId="0" borderId="31" xfId="0" applyBorder="1"/>
    <xf numFmtId="0" fontId="9" fillId="8" borderId="31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/>
    </xf>
    <xf numFmtId="0" fontId="0" fillId="4" borderId="3" xfId="0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9" borderId="4" xfId="0" applyFill="1" applyBorder="1"/>
    <xf numFmtId="0" fontId="3" fillId="9" borderId="1" xfId="0" applyFont="1" applyFill="1" applyBorder="1" applyAlignment="1">
      <alignment vertical="center" wrapText="1"/>
    </xf>
    <xf numFmtId="0" fontId="3" fillId="9" borderId="4" xfId="0" applyFont="1" applyFill="1" applyBorder="1" applyAlignment="1">
      <alignment horizontal="left" vertical="center" wrapText="1" indent="1"/>
    </xf>
    <xf numFmtId="0" fontId="0" fillId="8" borderId="31" xfId="0" applyFill="1" applyBorder="1" applyAlignment="1">
      <alignment horizontal="center" vertical="center"/>
    </xf>
    <xf numFmtId="0" fontId="0" fillId="0" borderId="20" xfId="0" applyBorder="1"/>
    <xf numFmtId="0" fontId="9" fillId="8" borderId="4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6" fillId="0" borderId="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8" borderId="9" xfId="0" applyFont="1" applyFill="1" applyBorder="1" applyAlignment="1">
      <alignment horizontal="center" vertical="center" wrapText="1"/>
    </xf>
    <xf numFmtId="9" fontId="6" fillId="0" borderId="8" xfId="1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vertical="center" wrapText="1"/>
    </xf>
    <xf numFmtId="0" fontId="12" fillId="0" borderId="4" xfId="0" applyFont="1" applyBorder="1" applyAlignment="1">
      <alignment horizontal="left" vertical="center" wrapText="1" indent="1"/>
    </xf>
    <xf numFmtId="0" fontId="12" fillId="4" borderId="4" xfId="0" applyFont="1" applyFill="1" applyBorder="1" applyAlignment="1">
      <alignment vertical="center" wrapText="1"/>
    </xf>
    <xf numFmtId="0" fontId="12" fillId="4" borderId="4" xfId="0" applyFont="1" applyFill="1" applyBorder="1" applyAlignment="1">
      <alignment horizontal="left" vertical="center" wrapText="1" indent="1"/>
    </xf>
    <xf numFmtId="0" fontId="12" fillId="4" borderId="2" xfId="0" applyFont="1" applyFill="1" applyBorder="1" applyAlignment="1">
      <alignment vertical="center" wrapText="1"/>
    </xf>
    <xf numFmtId="0" fontId="12" fillId="4" borderId="2" xfId="0" applyFont="1" applyFill="1" applyBorder="1" applyAlignment="1">
      <alignment horizontal="left" vertical="center" wrapText="1" indent="1"/>
    </xf>
    <xf numFmtId="0" fontId="12" fillId="0" borderId="9" xfId="0" applyFont="1" applyBorder="1" applyAlignment="1">
      <alignment vertical="center" wrapText="1"/>
    </xf>
    <xf numFmtId="0" fontId="12" fillId="4" borderId="3" xfId="0" applyFont="1" applyFill="1" applyBorder="1" applyAlignment="1">
      <alignment vertical="center" wrapText="1"/>
    </xf>
    <xf numFmtId="0" fontId="12" fillId="4" borderId="3" xfId="0" applyFont="1" applyFill="1" applyBorder="1" applyAlignment="1">
      <alignment horizontal="left" vertical="center" wrapText="1" indent="1"/>
    </xf>
    <xf numFmtId="0" fontId="12" fillId="9" borderId="1" xfId="0" applyFont="1" applyFill="1" applyBorder="1" applyAlignment="1">
      <alignment vertical="center" wrapText="1"/>
    </xf>
    <xf numFmtId="0" fontId="12" fillId="9" borderId="4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vertical="top" wrapText="1" indent="1"/>
    </xf>
    <xf numFmtId="0" fontId="12" fillId="4" borderId="12" xfId="0" applyFont="1" applyFill="1" applyBorder="1" applyAlignment="1">
      <alignment vertical="center" wrapText="1"/>
    </xf>
    <xf numFmtId="0" fontId="12" fillId="4" borderId="12" xfId="0" applyFont="1" applyFill="1" applyBorder="1" applyAlignment="1">
      <alignment horizontal="left" vertical="center" wrapText="1" indent="1"/>
    </xf>
    <xf numFmtId="0" fontId="13" fillId="0" borderId="15" xfId="0" applyFont="1" applyBorder="1"/>
    <xf numFmtId="0" fontId="13" fillId="0" borderId="39" xfId="0" applyFont="1" applyBorder="1" applyAlignment="1">
      <alignment wrapText="1"/>
    </xf>
    <xf numFmtId="0" fontId="13" fillId="0" borderId="12" xfId="0" applyFont="1" applyBorder="1" applyAlignment="1">
      <alignment wrapText="1"/>
    </xf>
    <xf numFmtId="0" fontId="9" fillId="8" borderId="32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12" fillId="0" borderId="2" xfId="0" applyFont="1" applyBorder="1" applyAlignment="1">
      <alignment vertical="center" wrapText="1"/>
    </xf>
    <xf numFmtId="0" fontId="0" fillId="0" borderId="32" xfId="0" applyBorder="1" applyAlignment="1">
      <alignment vertical="center"/>
    </xf>
    <xf numFmtId="0" fontId="6" fillId="5" borderId="29" xfId="0" applyFont="1" applyFill="1" applyBorder="1" applyAlignment="1">
      <alignment horizontal="center" vertical="center" wrapText="1"/>
    </xf>
    <xf numFmtId="0" fontId="9" fillId="8" borderId="1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2" xfId="0" applyBorder="1"/>
    <xf numFmtId="0" fontId="0" fillId="0" borderId="43" xfId="0" applyBorder="1"/>
    <xf numFmtId="0" fontId="0" fillId="3" borderId="28" xfId="0" applyFill="1" applyBorder="1"/>
    <xf numFmtId="0" fontId="0" fillId="0" borderId="12" xfId="0" applyBorder="1" applyAlignment="1">
      <alignment horizontal="left" vertical="center"/>
    </xf>
    <xf numFmtId="0" fontId="2" fillId="5" borderId="12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9" borderId="12" xfId="0" applyFont="1" applyFill="1" applyBorder="1" applyAlignment="1">
      <alignment horizontal="left" vertical="center" wrapText="1" indent="1"/>
    </xf>
    <xf numFmtId="0" fontId="0" fillId="0" borderId="34" xfId="0" applyBorder="1"/>
    <xf numFmtId="0" fontId="9" fillId="8" borderId="34" xfId="0" applyFont="1" applyFill="1" applyBorder="1" applyAlignment="1">
      <alignment horizontal="center"/>
    </xf>
    <xf numFmtId="0" fontId="0" fillId="8" borderId="12" xfId="0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0" fillId="5" borderId="28" xfId="0" applyFill="1" applyBorder="1"/>
    <xf numFmtId="0" fontId="0" fillId="5" borderId="5" xfId="0" applyFill="1" applyBorder="1"/>
    <xf numFmtId="0" fontId="6" fillId="5" borderId="12" xfId="0" applyFont="1" applyFill="1" applyBorder="1" applyAlignment="1">
      <alignment horizontal="center" vertical="center" wrapText="1"/>
    </xf>
    <xf numFmtId="0" fontId="12" fillId="0" borderId="12" xfId="0" applyFont="1" applyBorder="1" applyAlignment="1">
      <alignment vertical="center" wrapText="1"/>
    </xf>
    <xf numFmtId="0" fontId="12" fillId="9" borderId="12" xfId="0" applyFont="1" applyFill="1" applyBorder="1" applyAlignment="1">
      <alignment horizontal="left" vertical="center" wrapText="1" indent="1"/>
    </xf>
    <xf numFmtId="0" fontId="0" fillId="0" borderId="35" xfId="0" applyBorder="1"/>
    <xf numFmtId="0" fontId="0" fillId="10" borderId="9" xfId="0" applyFill="1" applyBorder="1" applyAlignment="1">
      <alignment horizontal="left" vertical="center"/>
    </xf>
    <xf numFmtId="0" fontId="0" fillId="10" borderId="9" xfId="0" applyFill="1" applyBorder="1"/>
    <xf numFmtId="0" fontId="6" fillId="10" borderId="9" xfId="0" applyFont="1" applyFill="1" applyBorder="1" applyAlignment="1">
      <alignment horizontal="center" vertical="center" wrapText="1"/>
    </xf>
    <xf numFmtId="0" fontId="0" fillId="10" borderId="9" xfId="0" applyFill="1" applyBorder="1" applyAlignment="1">
      <alignment vertical="center"/>
    </xf>
    <xf numFmtId="0" fontId="0" fillId="0" borderId="44" xfId="0" applyBorder="1"/>
    <xf numFmtId="16" fontId="0" fillId="10" borderId="9" xfId="0" applyNumberFormat="1" applyFill="1" applyBorder="1"/>
    <xf numFmtId="0" fontId="2" fillId="10" borderId="9" xfId="0" applyFont="1" applyFill="1" applyBorder="1" applyAlignment="1">
      <alignment horizontal="center" vertical="center" wrapText="1"/>
    </xf>
    <xf numFmtId="0" fontId="0" fillId="4" borderId="9" xfId="0" applyFill="1" applyBorder="1" applyAlignment="1">
      <alignment horizontal="center" vertical="center"/>
    </xf>
    <xf numFmtId="0" fontId="16" fillId="0" borderId="4" xfId="0" applyFont="1" applyBorder="1" applyAlignment="1">
      <alignment vertical="center" wrapText="1"/>
    </xf>
    <xf numFmtId="0" fontId="16" fillId="0" borderId="4" xfId="0" applyFont="1" applyBorder="1" applyAlignment="1">
      <alignment vertical="top" wrapText="1"/>
    </xf>
    <xf numFmtId="0" fontId="7" fillId="0" borderId="14" xfId="0" applyFont="1" applyBorder="1" applyAlignment="1">
      <alignment horizontal="center" wrapText="1"/>
    </xf>
    <xf numFmtId="0" fontId="12" fillId="0" borderId="9" xfId="0" applyFont="1" applyBorder="1" applyAlignment="1">
      <alignment horizontal="left" vertical="center" wrapText="1" indent="1"/>
    </xf>
    <xf numFmtId="0" fontId="12" fillId="9" borderId="1" xfId="0" applyFont="1" applyFill="1" applyBorder="1" applyAlignment="1">
      <alignment vertical="center" wrapText="1" indent="1"/>
    </xf>
    <xf numFmtId="0" fontId="0" fillId="0" borderId="12" xfId="0" applyBorder="1" applyAlignment="1">
      <alignment wrapText="1"/>
    </xf>
    <xf numFmtId="0" fontId="0" fillId="0" borderId="12" xfId="0" applyBorder="1" applyAlignment="1">
      <alignment horizontal="center" vertical="top" wrapText="1"/>
    </xf>
    <xf numFmtId="0" fontId="3" fillId="9" borderId="1" xfId="0" applyFont="1" applyFill="1" applyBorder="1" applyAlignment="1">
      <alignment horizontal="left" vertical="center" wrapText="1" indent="1"/>
    </xf>
    <xf numFmtId="0" fontId="4" fillId="0" borderId="9" xfId="0" applyFont="1" applyBorder="1"/>
    <xf numFmtId="0" fontId="3" fillId="0" borderId="9" xfId="0" applyFont="1" applyBorder="1" applyAlignment="1">
      <alignment horizontal="left" vertical="center" wrapText="1" indent="1"/>
    </xf>
    <xf numFmtId="0" fontId="3" fillId="9" borderId="1" xfId="0" applyFont="1" applyFill="1" applyBorder="1" applyAlignment="1">
      <alignment vertical="center" wrapText="1" indent="1"/>
    </xf>
    <xf numFmtId="0" fontId="0" fillId="0" borderId="12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41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12" xfId="0" applyBorder="1" applyAlignment="1">
      <alignment horizontal="center" wrapText="1"/>
    </xf>
    <xf numFmtId="0" fontId="0" fillId="0" borderId="12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4" xfId="0" applyBorder="1" applyAlignment="1">
      <alignment horizontal="center"/>
    </xf>
    <xf numFmtId="0" fontId="7" fillId="0" borderId="12" xfId="0" applyFont="1" applyBorder="1" applyAlignment="1">
      <alignment horizontal="center" wrapText="1"/>
    </xf>
    <xf numFmtId="0" fontId="0" fillId="0" borderId="1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7" fillId="0" borderId="41" xfId="0" applyFont="1" applyBorder="1" applyAlignment="1">
      <alignment horizontal="center" wrapText="1"/>
    </xf>
    <xf numFmtId="0" fontId="0" fillId="0" borderId="41" xfId="0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9" fillId="8" borderId="2" xfId="0" applyFont="1" applyFill="1" applyBorder="1" applyAlignment="1">
      <alignment horizontal="center"/>
    </xf>
    <xf numFmtId="0" fontId="9" fillId="8" borderId="4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 vertical="center"/>
    </xf>
    <xf numFmtId="0" fontId="9" fillId="8" borderId="4" xfId="0" applyFont="1" applyFill="1" applyBorder="1" applyAlignment="1">
      <alignment horizontal="center" vertical="center"/>
    </xf>
    <xf numFmtId="0" fontId="9" fillId="8" borderId="7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38" xfId="0" applyFont="1" applyFill="1" applyBorder="1" applyAlignment="1">
      <alignment horizontal="center" vertical="center"/>
    </xf>
    <xf numFmtId="0" fontId="9" fillId="8" borderId="40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16" fontId="9" fillId="0" borderId="25" xfId="0" applyNumberFormat="1" applyFont="1" applyBorder="1" applyAlignment="1">
      <alignment horizontal="center" vertical="center"/>
    </xf>
    <xf numFmtId="16" fontId="9" fillId="0" borderId="26" xfId="0" applyNumberFormat="1" applyFont="1" applyBorder="1" applyAlignment="1">
      <alignment horizontal="center" vertical="center"/>
    </xf>
    <xf numFmtId="16" fontId="9" fillId="0" borderId="27" xfId="0" applyNumberFormat="1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16" fontId="9" fillId="0" borderId="2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C8549-0E19-4065-9AC1-B93A6DFEFEDD}">
  <sheetPr>
    <pageSetUpPr fitToPage="1"/>
  </sheetPr>
  <dimension ref="A1:R73"/>
  <sheetViews>
    <sheetView tabSelected="1" zoomScale="80" zoomScaleNormal="80" workbookViewId="0">
      <pane xSplit="9" topLeftCell="J1" activePane="topRight" state="frozen"/>
      <selection pane="topRight" activeCell="N25" sqref="N25"/>
    </sheetView>
  </sheetViews>
  <sheetFormatPr defaultRowHeight="15" x14ac:dyDescent="0.25"/>
  <cols>
    <col min="1" max="1" width="5.7109375" style="27" customWidth="1"/>
    <col min="2" max="2" width="9.140625" customWidth="1"/>
    <col min="3" max="3" width="10.7109375" hidden="1" customWidth="1"/>
    <col min="4" max="4" width="10.7109375" bestFit="1" customWidth="1"/>
    <col min="5" max="5" width="10.7109375" style="166" customWidth="1"/>
    <col min="6" max="6" width="10.7109375" customWidth="1"/>
    <col min="7" max="7" width="16.140625" bestFit="1" customWidth="1"/>
    <col min="8" max="8" width="12.7109375" customWidth="1"/>
    <col min="9" max="9" width="40" bestFit="1" customWidth="1"/>
    <col min="10" max="10" width="9.140625" bestFit="1" customWidth="1"/>
    <col min="11" max="11" width="13.85546875" bestFit="1" customWidth="1"/>
    <col min="12" max="12" width="12.28515625" bestFit="1" customWidth="1"/>
    <col min="13" max="13" width="11.85546875" bestFit="1" customWidth="1"/>
    <col min="14" max="14" width="31.28515625" customWidth="1"/>
    <col min="15" max="15" width="19.85546875" customWidth="1"/>
    <col min="16" max="16" width="17.7109375" bestFit="1" customWidth="1"/>
    <col min="17" max="17" width="14.42578125" customWidth="1"/>
    <col min="18" max="18" width="13" customWidth="1"/>
  </cols>
  <sheetData>
    <row r="1" spans="1:18" x14ac:dyDescent="0.25">
      <c r="A1" s="260" t="s">
        <v>0</v>
      </c>
      <c r="B1" s="260"/>
      <c r="C1" s="260"/>
      <c r="D1" s="260"/>
      <c r="E1" s="260"/>
      <c r="F1" s="260"/>
      <c r="G1" s="260"/>
      <c r="H1" s="260"/>
      <c r="I1" s="260"/>
      <c r="J1" s="165"/>
    </row>
    <row r="2" spans="1:18" x14ac:dyDescent="0.25">
      <c r="A2" s="261" t="s">
        <v>1</v>
      </c>
      <c r="B2" s="261"/>
      <c r="C2" s="261"/>
      <c r="D2" s="261"/>
      <c r="E2" s="261"/>
      <c r="F2" s="261"/>
      <c r="G2" s="261"/>
      <c r="H2" s="261"/>
      <c r="I2" s="261"/>
      <c r="J2" s="167"/>
    </row>
    <row r="4" spans="1:18" ht="25.5" x14ac:dyDescent="0.25">
      <c r="A4" s="29" t="s">
        <v>2</v>
      </c>
      <c r="B4" s="168" t="s">
        <v>3</v>
      </c>
      <c r="C4" s="169" t="s">
        <v>4</v>
      </c>
      <c r="D4" s="170" t="s">
        <v>5</v>
      </c>
      <c r="E4" s="170" t="s">
        <v>6</v>
      </c>
      <c r="F4" s="171" t="s">
        <v>7</v>
      </c>
      <c r="G4" s="168" t="s">
        <v>8</v>
      </c>
      <c r="H4" s="172" t="s">
        <v>9</v>
      </c>
      <c r="I4" s="169" t="s">
        <v>10</v>
      </c>
      <c r="J4" s="173" t="s">
        <v>11</v>
      </c>
      <c r="K4" s="174" t="s">
        <v>12</v>
      </c>
      <c r="L4" s="175" t="s">
        <v>13</v>
      </c>
      <c r="M4" s="175" t="s">
        <v>14</v>
      </c>
      <c r="N4" s="175" t="s">
        <v>15</v>
      </c>
      <c r="O4" s="197" t="s">
        <v>16</v>
      </c>
      <c r="P4" s="197" t="s">
        <v>17</v>
      </c>
      <c r="Q4" s="198" t="s">
        <v>18</v>
      </c>
      <c r="R4" s="199" t="s">
        <v>19</v>
      </c>
    </row>
    <row r="5" spans="1:18" ht="21.75" customHeight="1" x14ac:dyDescent="0.25">
      <c r="A5" s="27">
        <v>1</v>
      </c>
      <c r="B5" s="6" t="s">
        <v>20</v>
      </c>
      <c r="C5" s="30" t="s">
        <v>21</v>
      </c>
      <c r="D5" s="47" t="s">
        <v>22</v>
      </c>
      <c r="E5" s="176"/>
      <c r="F5" s="11"/>
      <c r="G5" s="33" t="s">
        <v>23</v>
      </c>
      <c r="H5" s="177" t="s">
        <v>24</v>
      </c>
      <c r="I5" s="177" t="s">
        <v>25</v>
      </c>
      <c r="J5" s="116">
        <v>62</v>
      </c>
      <c r="K5" s="18" t="s">
        <v>26</v>
      </c>
      <c r="L5" s="6"/>
      <c r="M5" s="6"/>
      <c r="N5" s="6" t="s">
        <v>27</v>
      </c>
      <c r="O5" s="245" t="s">
        <v>288</v>
      </c>
      <c r="P5" s="256" t="s">
        <v>28</v>
      </c>
      <c r="Q5" s="245" t="s">
        <v>29</v>
      </c>
      <c r="R5" s="256" t="s">
        <v>30</v>
      </c>
    </row>
    <row r="6" spans="1:18" ht="21" customHeight="1" x14ac:dyDescent="0.25">
      <c r="A6" s="27">
        <v>2</v>
      </c>
      <c r="B6" s="11" t="s">
        <v>31</v>
      </c>
      <c r="C6" s="101" t="s">
        <v>21</v>
      </c>
      <c r="D6" s="20" t="s">
        <v>22</v>
      </c>
      <c r="E6" s="178"/>
      <c r="F6" s="11"/>
      <c r="G6" s="34" t="s">
        <v>32</v>
      </c>
      <c r="H6" s="11" t="s">
        <v>33</v>
      </c>
      <c r="I6" s="11" t="s">
        <v>34</v>
      </c>
      <c r="J6" s="116">
        <v>164</v>
      </c>
      <c r="K6" s="18" t="s">
        <v>35</v>
      </c>
      <c r="L6" s="11"/>
      <c r="M6" s="11"/>
      <c r="N6" s="11" t="s">
        <v>36</v>
      </c>
      <c r="O6" s="257"/>
      <c r="P6" s="257"/>
      <c r="Q6" s="257"/>
      <c r="R6" s="257"/>
    </row>
    <row r="7" spans="1:18" ht="27.75" customHeight="1" x14ac:dyDescent="0.25">
      <c r="A7" s="27">
        <v>3</v>
      </c>
      <c r="B7" s="11" t="s">
        <v>37</v>
      </c>
      <c r="C7" s="101" t="s">
        <v>21</v>
      </c>
      <c r="D7" s="20" t="s">
        <v>22</v>
      </c>
      <c r="E7" s="178"/>
      <c r="F7" s="11"/>
      <c r="G7" s="34" t="s">
        <v>38</v>
      </c>
      <c r="H7" s="11" t="s">
        <v>39</v>
      </c>
      <c r="I7" s="11" t="s">
        <v>40</v>
      </c>
      <c r="J7" s="116">
        <v>170</v>
      </c>
      <c r="K7" s="64"/>
      <c r="L7" s="6" t="s">
        <v>41</v>
      </c>
      <c r="M7" s="11"/>
      <c r="N7" s="235" t="s">
        <v>42</v>
      </c>
      <c r="O7" s="248"/>
      <c r="P7" s="248"/>
      <c r="Q7" s="248"/>
      <c r="R7" s="248"/>
    </row>
    <row r="8" spans="1:18" ht="12.75" customHeight="1" x14ac:dyDescent="0.25">
      <c r="A8" s="35"/>
      <c r="B8" s="39"/>
      <c r="C8" s="41"/>
      <c r="D8" s="36"/>
      <c r="E8" s="179"/>
      <c r="F8" s="39"/>
      <c r="G8" s="42"/>
      <c r="H8" s="180"/>
      <c r="I8" s="180"/>
      <c r="J8" s="107"/>
      <c r="K8" s="61"/>
      <c r="L8" s="39"/>
      <c r="M8" s="39"/>
      <c r="N8" s="62"/>
      <c r="O8" s="46"/>
      <c r="P8" s="46"/>
      <c r="Q8" s="46"/>
      <c r="R8" s="46"/>
    </row>
    <row r="9" spans="1:18" ht="19.5" customHeight="1" x14ac:dyDescent="0.25">
      <c r="A9" s="27">
        <v>4</v>
      </c>
      <c r="B9" s="6" t="s">
        <v>43</v>
      </c>
      <c r="C9" s="30" t="s">
        <v>21</v>
      </c>
      <c r="D9" s="6" t="s">
        <v>44</v>
      </c>
      <c r="E9" s="181"/>
      <c r="F9" s="6"/>
      <c r="G9" s="33" t="s">
        <v>23</v>
      </c>
      <c r="H9" s="177" t="s">
        <v>45</v>
      </c>
      <c r="I9" s="177" t="s">
        <v>46</v>
      </c>
      <c r="J9" s="116">
        <v>62</v>
      </c>
      <c r="K9" s="18"/>
      <c r="L9" s="6" t="s">
        <v>41</v>
      </c>
      <c r="M9" s="6"/>
      <c r="N9" s="58" t="s">
        <v>291</v>
      </c>
      <c r="O9" s="251" t="s">
        <v>47</v>
      </c>
      <c r="P9" s="256" t="s">
        <v>48</v>
      </c>
      <c r="Q9" s="245" t="s">
        <v>49</v>
      </c>
      <c r="R9" s="256" t="s">
        <v>30</v>
      </c>
    </row>
    <row r="10" spans="1:18" ht="19.5" customHeight="1" x14ac:dyDescent="0.25">
      <c r="A10" s="27">
        <v>5</v>
      </c>
      <c r="B10" s="6" t="s">
        <v>50</v>
      </c>
      <c r="C10" s="31" t="s">
        <v>21</v>
      </c>
      <c r="D10" s="20" t="s">
        <v>44</v>
      </c>
      <c r="E10" s="181"/>
      <c r="F10" s="18"/>
      <c r="G10" s="34" t="s">
        <v>32</v>
      </c>
      <c r="H10" s="6" t="s">
        <v>51</v>
      </c>
      <c r="I10" s="6" t="s">
        <v>52</v>
      </c>
      <c r="J10" s="116">
        <v>164</v>
      </c>
      <c r="K10" s="18"/>
      <c r="L10" s="6" t="s">
        <v>41</v>
      </c>
      <c r="M10" s="6"/>
      <c r="N10" s="58"/>
      <c r="O10" s="249"/>
      <c r="P10" s="257"/>
      <c r="Q10" s="257"/>
      <c r="R10" s="257"/>
    </row>
    <row r="11" spans="1:18" ht="19.5" customHeight="1" x14ac:dyDescent="0.25">
      <c r="A11" s="27">
        <v>6</v>
      </c>
      <c r="B11" s="6" t="s">
        <v>53</v>
      </c>
      <c r="C11" s="31" t="s">
        <v>21</v>
      </c>
      <c r="D11" s="20" t="s">
        <v>44</v>
      </c>
      <c r="E11" s="181"/>
      <c r="F11" s="6"/>
      <c r="G11" s="34" t="s">
        <v>38</v>
      </c>
      <c r="H11" s="6" t="s">
        <v>54</v>
      </c>
      <c r="I11" s="6" t="s">
        <v>55</v>
      </c>
      <c r="J11" s="116">
        <v>170</v>
      </c>
      <c r="K11" s="18" t="s">
        <v>35</v>
      </c>
      <c r="L11" s="6"/>
      <c r="M11" s="6"/>
      <c r="N11" s="58"/>
      <c r="O11" s="250"/>
      <c r="P11" s="248"/>
      <c r="Q11" s="248"/>
      <c r="R11" s="248"/>
    </row>
    <row r="12" spans="1:18" ht="10.5" customHeight="1" x14ac:dyDescent="0.25">
      <c r="A12" s="35"/>
      <c r="B12" s="39"/>
      <c r="C12" s="41"/>
      <c r="D12" s="39"/>
      <c r="E12" s="179"/>
      <c r="F12" s="39"/>
      <c r="G12" s="42"/>
      <c r="H12" s="180"/>
      <c r="I12" s="180"/>
      <c r="J12" s="144"/>
      <c r="K12" s="145"/>
      <c r="L12" s="146"/>
      <c r="M12" s="39"/>
      <c r="N12" s="62"/>
      <c r="O12" s="46"/>
      <c r="P12" s="46"/>
      <c r="Q12" s="46"/>
      <c r="R12" s="46"/>
    </row>
    <row r="13" spans="1:18" ht="21.75" customHeight="1" x14ac:dyDescent="0.25">
      <c r="A13" s="27">
        <v>7</v>
      </c>
      <c r="B13" s="6" t="s">
        <v>56</v>
      </c>
      <c r="C13" s="30" t="s">
        <v>21</v>
      </c>
      <c r="D13" s="47" t="s">
        <v>57</v>
      </c>
      <c r="E13" s="181"/>
      <c r="F13" s="47"/>
      <c r="G13" s="30" t="s">
        <v>23</v>
      </c>
      <c r="H13" s="202" t="s">
        <v>58</v>
      </c>
      <c r="I13" s="202" t="s">
        <v>59</v>
      </c>
      <c r="J13" s="116">
        <v>62</v>
      </c>
      <c r="K13" s="18" t="s">
        <v>60</v>
      </c>
      <c r="L13" s="47"/>
      <c r="M13" s="47"/>
      <c r="N13" s="58" t="s">
        <v>291</v>
      </c>
      <c r="O13" s="245" t="s">
        <v>61</v>
      </c>
      <c r="P13" s="256" t="s">
        <v>28</v>
      </c>
      <c r="Q13" s="245" t="s">
        <v>62</v>
      </c>
      <c r="R13" s="256" t="s">
        <v>30</v>
      </c>
    </row>
    <row r="14" spans="1:18" ht="21.75" customHeight="1" x14ac:dyDescent="0.25">
      <c r="A14" s="27">
        <v>8</v>
      </c>
      <c r="B14" s="6" t="s">
        <v>63</v>
      </c>
      <c r="C14" s="101" t="s">
        <v>21</v>
      </c>
      <c r="D14" s="20" t="s">
        <v>57</v>
      </c>
      <c r="E14" s="204"/>
      <c r="F14" s="20"/>
      <c r="G14" s="203" t="s">
        <v>32</v>
      </c>
      <c r="H14" s="20" t="s">
        <v>64</v>
      </c>
      <c r="I14" s="20" t="s">
        <v>65</v>
      </c>
      <c r="J14" s="200">
        <v>164</v>
      </c>
      <c r="K14" s="48" t="s">
        <v>35</v>
      </c>
      <c r="L14" s="151"/>
      <c r="M14" s="20"/>
      <c r="N14" s="151"/>
      <c r="O14" s="259"/>
      <c r="P14" s="257"/>
      <c r="Q14" s="257"/>
      <c r="R14" s="257"/>
    </row>
    <row r="15" spans="1:18" ht="21.75" customHeight="1" x14ac:dyDescent="0.25">
      <c r="A15" s="27">
        <v>9</v>
      </c>
      <c r="B15" s="6" t="s">
        <v>66</v>
      </c>
      <c r="C15" s="101" t="s">
        <v>67</v>
      </c>
      <c r="D15" s="20" t="s">
        <v>57</v>
      </c>
      <c r="E15" s="204"/>
      <c r="F15" s="20"/>
      <c r="G15" s="203" t="s">
        <v>68</v>
      </c>
      <c r="H15" s="20" t="s">
        <v>69</v>
      </c>
      <c r="I15" s="20" t="s">
        <v>70</v>
      </c>
      <c r="J15" s="201">
        <v>100</v>
      </c>
      <c r="K15" s="20"/>
      <c r="L15" s="110" t="s">
        <v>41</v>
      </c>
      <c r="M15" s="20"/>
      <c r="N15" s="151"/>
      <c r="O15" s="259"/>
      <c r="P15" s="257"/>
      <c r="Q15" s="257"/>
      <c r="R15" s="257"/>
    </row>
    <row r="16" spans="1:18" ht="21.75" customHeight="1" x14ac:dyDescent="0.25">
      <c r="A16" s="27">
        <v>10</v>
      </c>
      <c r="B16" s="6" t="s">
        <v>71</v>
      </c>
      <c r="C16" s="31" t="s">
        <v>67</v>
      </c>
      <c r="D16" s="26" t="s">
        <v>57</v>
      </c>
      <c r="E16" s="181"/>
      <c r="F16" s="11"/>
      <c r="G16" s="34" t="s">
        <v>72</v>
      </c>
      <c r="H16" s="182" t="s">
        <v>73</v>
      </c>
      <c r="I16" s="183" t="s">
        <v>74</v>
      </c>
      <c r="J16" s="116">
        <v>37</v>
      </c>
      <c r="K16" s="64"/>
      <c r="L16" s="20" t="s">
        <v>75</v>
      </c>
      <c r="M16" s="11"/>
      <c r="N16" s="59"/>
      <c r="O16" s="246"/>
      <c r="P16" s="248"/>
      <c r="Q16" s="248"/>
      <c r="R16" s="248"/>
    </row>
    <row r="17" spans="1:18" ht="11.25" customHeight="1" x14ac:dyDescent="0.25">
      <c r="A17" s="35"/>
      <c r="B17" s="36"/>
      <c r="C17" s="37"/>
      <c r="D17" s="40"/>
      <c r="E17" s="179"/>
      <c r="F17" s="36"/>
      <c r="G17" s="38"/>
      <c r="H17" s="184"/>
      <c r="I17" s="185"/>
      <c r="J17" s="107"/>
      <c r="K17" s="65"/>
      <c r="L17" s="36"/>
      <c r="M17" s="36"/>
      <c r="N17" s="63"/>
      <c r="O17" s="46"/>
      <c r="P17" s="46"/>
      <c r="Q17" s="46"/>
      <c r="R17" s="46"/>
    </row>
    <row r="18" spans="1:18" ht="33" customHeight="1" x14ac:dyDescent="0.25">
      <c r="A18" s="27">
        <v>11</v>
      </c>
      <c r="B18" s="11" t="s">
        <v>76</v>
      </c>
      <c r="C18" s="31" t="s">
        <v>77</v>
      </c>
      <c r="D18" s="88"/>
      <c r="E18" s="26" t="s">
        <v>78</v>
      </c>
      <c r="F18" s="11"/>
      <c r="G18" s="34" t="s">
        <v>79</v>
      </c>
      <c r="H18" s="182" t="s">
        <v>80</v>
      </c>
      <c r="I18" s="182" t="s">
        <v>81</v>
      </c>
      <c r="J18" s="116">
        <v>28</v>
      </c>
      <c r="K18" s="18" t="s">
        <v>26</v>
      </c>
      <c r="L18" s="11"/>
      <c r="M18" s="11"/>
      <c r="N18" s="58" t="s">
        <v>291</v>
      </c>
      <c r="O18" s="251" t="s">
        <v>82</v>
      </c>
      <c r="P18" s="247" t="s">
        <v>83</v>
      </c>
      <c r="Q18" s="245" t="s">
        <v>84</v>
      </c>
      <c r="R18" s="247" t="s">
        <v>30</v>
      </c>
    </row>
    <row r="19" spans="1:18" ht="29.25" customHeight="1" x14ac:dyDescent="0.25">
      <c r="A19" s="27">
        <v>12</v>
      </c>
      <c r="B19" s="11" t="s">
        <v>85</v>
      </c>
      <c r="C19" s="31" t="s">
        <v>77</v>
      </c>
      <c r="D19" s="88"/>
      <c r="E19" s="26" t="s">
        <v>78</v>
      </c>
      <c r="F19" s="11"/>
      <c r="G19" s="34" t="s">
        <v>86</v>
      </c>
      <c r="H19" s="11" t="s">
        <v>87</v>
      </c>
      <c r="I19" s="11" t="s">
        <v>88</v>
      </c>
      <c r="J19" s="116">
        <v>86</v>
      </c>
      <c r="K19" s="64" t="s">
        <v>35</v>
      </c>
      <c r="L19" s="11"/>
      <c r="M19" s="11"/>
      <c r="N19" s="58"/>
      <c r="O19" s="254"/>
      <c r="P19" s="248"/>
      <c r="Q19" s="246"/>
      <c r="R19" s="248"/>
    </row>
    <row r="20" spans="1:18" ht="13.5" customHeight="1" x14ac:dyDescent="0.25">
      <c r="A20" s="35"/>
      <c r="B20" s="36"/>
      <c r="C20" s="37"/>
      <c r="D20" s="40"/>
      <c r="E20" s="179"/>
      <c r="F20" s="36"/>
      <c r="G20" s="38"/>
      <c r="H20" s="36"/>
      <c r="I20" s="36"/>
      <c r="J20" s="107"/>
      <c r="K20" s="65"/>
      <c r="L20" s="36"/>
      <c r="M20" s="36"/>
      <c r="N20" s="63"/>
      <c r="O20" s="46"/>
      <c r="P20" s="56"/>
      <c r="Q20" s="56"/>
      <c r="R20" s="56"/>
    </row>
    <row r="21" spans="1:18" ht="32.25" customHeight="1" x14ac:dyDescent="0.25">
      <c r="A21" s="27">
        <v>13</v>
      </c>
      <c r="B21" s="6" t="s">
        <v>89</v>
      </c>
      <c r="C21" s="31" t="s">
        <v>77</v>
      </c>
      <c r="D21" s="89"/>
      <c r="E21" s="20" t="s">
        <v>90</v>
      </c>
      <c r="F21" s="6"/>
      <c r="G21" s="34" t="s">
        <v>79</v>
      </c>
      <c r="H21" s="177" t="s">
        <v>91</v>
      </c>
      <c r="I21" s="177" t="s">
        <v>92</v>
      </c>
      <c r="J21" s="116">
        <v>28</v>
      </c>
      <c r="K21" s="18" t="s">
        <v>35</v>
      </c>
      <c r="L21" s="6"/>
      <c r="M21" s="6"/>
      <c r="N21" s="58" t="s">
        <v>291</v>
      </c>
      <c r="O21" s="251" t="s">
        <v>93</v>
      </c>
      <c r="P21" s="247" t="s">
        <v>83</v>
      </c>
      <c r="Q21" s="245" t="s">
        <v>84</v>
      </c>
      <c r="R21" s="247" t="s">
        <v>30</v>
      </c>
    </row>
    <row r="22" spans="1:18" ht="26.25" customHeight="1" x14ac:dyDescent="0.25">
      <c r="A22" s="27">
        <v>14</v>
      </c>
      <c r="B22" s="6" t="s">
        <v>94</v>
      </c>
      <c r="C22" s="31" t="s">
        <v>77</v>
      </c>
      <c r="D22" s="89"/>
      <c r="E22" s="20" t="s">
        <v>90</v>
      </c>
      <c r="F22" s="6"/>
      <c r="G22" s="34" t="s">
        <v>86</v>
      </c>
      <c r="H22" s="6" t="s">
        <v>95</v>
      </c>
      <c r="I22" s="6" t="s">
        <v>25</v>
      </c>
      <c r="J22" s="116">
        <v>86</v>
      </c>
      <c r="K22" s="18" t="s">
        <v>26</v>
      </c>
      <c r="L22" s="6"/>
      <c r="M22" s="6"/>
      <c r="N22" s="58"/>
      <c r="O22" s="254"/>
      <c r="P22" s="248"/>
      <c r="Q22" s="246"/>
      <c r="R22" s="248"/>
    </row>
    <row r="23" spans="1:18" ht="12.75" customHeight="1" x14ac:dyDescent="0.25">
      <c r="A23" s="35"/>
      <c r="B23" s="39"/>
      <c r="C23" s="37"/>
      <c r="D23" s="46"/>
      <c r="E23" s="179"/>
      <c r="F23" s="39"/>
      <c r="G23" s="38"/>
      <c r="H23" s="39"/>
      <c r="I23" s="39"/>
      <c r="J23" s="107"/>
      <c r="K23" s="61"/>
      <c r="L23" s="39"/>
      <c r="M23" s="39"/>
      <c r="N23" s="62"/>
      <c r="O23" s="46"/>
      <c r="P23" s="46"/>
      <c r="Q23" s="46"/>
      <c r="R23" s="56"/>
    </row>
    <row r="24" spans="1:18" ht="29.25" customHeight="1" x14ac:dyDescent="0.25">
      <c r="A24" s="27">
        <v>15</v>
      </c>
      <c r="B24" s="6" t="s">
        <v>96</v>
      </c>
      <c r="C24" s="31" t="s">
        <v>77</v>
      </c>
      <c r="D24" s="89"/>
      <c r="E24" s="20" t="s">
        <v>97</v>
      </c>
      <c r="F24" s="6"/>
      <c r="G24" s="34" t="s">
        <v>79</v>
      </c>
      <c r="H24" s="177" t="s">
        <v>98</v>
      </c>
      <c r="I24" s="177" t="s">
        <v>65</v>
      </c>
      <c r="J24" s="116">
        <v>28</v>
      </c>
      <c r="K24" s="18" t="s">
        <v>26</v>
      </c>
      <c r="L24" s="6"/>
      <c r="M24" s="6"/>
      <c r="N24" s="58" t="s">
        <v>291</v>
      </c>
      <c r="O24" s="251" t="s">
        <v>99</v>
      </c>
      <c r="P24" s="247" t="s">
        <v>83</v>
      </c>
      <c r="Q24" s="245" t="s">
        <v>100</v>
      </c>
      <c r="R24" s="247" t="s">
        <v>30</v>
      </c>
    </row>
    <row r="25" spans="1:18" ht="27.75" customHeight="1" x14ac:dyDescent="0.25">
      <c r="A25" s="27">
        <v>16</v>
      </c>
      <c r="B25" s="6" t="s">
        <v>101</v>
      </c>
      <c r="C25" s="31" t="s">
        <v>77</v>
      </c>
      <c r="D25" s="89"/>
      <c r="E25" s="20" t="s">
        <v>97</v>
      </c>
      <c r="F25" s="6"/>
      <c r="G25" s="34" t="s">
        <v>86</v>
      </c>
      <c r="H25" s="6" t="s">
        <v>102</v>
      </c>
      <c r="I25" s="6" t="s">
        <v>103</v>
      </c>
      <c r="J25" s="116">
        <v>86</v>
      </c>
      <c r="K25" s="18" t="s">
        <v>35</v>
      </c>
      <c r="L25" s="6"/>
      <c r="M25" s="6"/>
      <c r="N25" s="58"/>
      <c r="O25" s="254"/>
      <c r="P25" s="248"/>
      <c r="Q25" s="246"/>
      <c r="R25" s="248"/>
    </row>
    <row r="26" spans="1:18" ht="12.75" customHeight="1" x14ac:dyDescent="0.25">
      <c r="A26" s="35"/>
      <c r="B26" s="39"/>
      <c r="C26" s="37"/>
      <c r="D26" s="40"/>
      <c r="E26" s="179"/>
      <c r="F26" s="39"/>
      <c r="G26" s="38"/>
      <c r="H26" s="39"/>
      <c r="I26" s="39"/>
      <c r="J26" s="107"/>
      <c r="K26" s="61"/>
      <c r="L26" s="39"/>
      <c r="M26" s="39"/>
      <c r="N26" s="62"/>
      <c r="O26" s="46"/>
      <c r="P26" s="46"/>
      <c r="Q26" s="46"/>
      <c r="R26" s="46"/>
    </row>
    <row r="27" spans="1:18" ht="17.25" customHeight="1" x14ac:dyDescent="0.25">
      <c r="A27" s="27">
        <v>17</v>
      </c>
      <c r="B27" s="20" t="s">
        <v>104</v>
      </c>
      <c r="C27" s="54" t="s">
        <v>21</v>
      </c>
      <c r="D27" s="104" t="s">
        <v>57</v>
      </c>
      <c r="E27" s="181"/>
      <c r="F27" s="100" t="s">
        <v>105</v>
      </c>
      <c r="G27" s="54" t="s">
        <v>38</v>
      </c>
      <c r="H27" s="20" t="s">
        <v>106</v>
      </c>
      <c r="I27" s="20" t="s">
        <v>107</v>
      </c>
      <c r="J27" s="116">
        <v>170</v>
      </c>
      <c r="K27" s="110"/>
      <c r="L27" s="20" t="s">
        <v>41</v>
      </c>
      <c r="M27" s="20"/>
      <c r="N27" s="58" t="s">
        <v>291</v>
      </c>
      <c r="O27" s="255" t="s">
        <v>108</v>
      </c>
      <c r="P27" s="256" t="s">
        <v>28</v>
      </c>
      <c r="Q27" s="245" t="s">
        <v>109</v>
      </c>
      <c r="R27" s="256" t="s">
        <v>30</v>
      </c>
    </row>
    <row r="28" spans="1:18" ht="15" customHeight="1" x14ac:dyDescent="0.25">
      <c r="A28" s="27">
        <v>18</v>
      </c>
      <c r="B28" s="6" t="s">
        <v>110</v>
      </c>
      <c r="C28" s="30" t="s">
        <v>21</v>
      </c>
      <c r="D28" s="6" t="s">
        <v>105</v>
      </c>
      <c r="E28" s="181"/>
      <c r="F28" s="6"/>
      <c r="G28" s="33" t="s">
        <v>23</v>
      </c>
      <c r="H28" s="177" t="s">
        <v>111</v>
      </c>
      <c r="I28" s="177" t="s">
        <v>112</v>
      </c>
      <c r="J28" s="116">
        <v>62</v>
      </c>
      <c r="K28" s="18"/>
      <c r="L28" s="6" t="s">
        <v>113</v>
      </c>
      <c r="M28" s="6"/>
      <c r="N28" s="58" t="s">
        <v>291</v>
      </c>
      <c r="O28" s="258"/>
      <c r="P28" s="257"/>
      <c r="Q28" s="259"/>
      <c r="R28" s="257"/>
    </row>
    <row r="29" spans="1:18" ht="21.75" customHeight="1" x14ac:dyDescent="0.25">
      <c r="A29" s="27">
        <v>19</v>
      </c>
      <c r="B29" s="6" t="s">
        <v>114</v>
      </c>
      <c r="C29" s="31" t="s">
        <v>21</v>
      </c>
      <c r="D29" s="20" t="s">
        <v>105</v>
      </c>
      <c r="E29" s="181"/>
      <c r="F29" s="6"/>
      <c r="G29" s="34" t="s">
        <v>32</v>
      </c>
      <c r="H29" s="6" t="s">
        <v>115</v>
      </c>
      <c r="I29" s="6" t="s">
        <v>116</v>
      </c>
      <c r="J29" s="116">
        <v>164</v>
      </c>
      <c r="K29" s="18" t="s">
        <v>26</v>
      </c>
      <c r="L29" s="6"/>
      <c r="M29" s="6"/>
      <c r="N29" s="58" t="s">
        <v>291</v>
      </c>
      <c r="O29" s="258"/>
      <c r="P29" s="257"/>
      <c r="Q29" s="259"/>
      <c r="R29" s="257"/>
    </row>
    <row r="30" spans="1:18" ht="21.75" customHeight="1" x14ac:dyDescent="0.25">
      <c r="A30" s="27">
        <v>20</v>
      </c>
      <c r="B30" s="6" t="s">
        <v>117</v>
      </c>
      <c r="C30" s="31" t="s">
        <v>67</v>
      </c>
      <c r="D30" s="20" t="s">
        <v>105</v>
      </c>
      <c r="E30" s="181"/>
      <c r="F30" s="6"/>
      <c r="G30" s="34" t="s">
        <v>68</v>
      </c>
      <c r="H30" s="6" t="s">
        <v>118</v>
      </c>
      <c r="I30" s="6" t="s">
        <v>119</v>
      </c>
      <c r="J30" s="116">
        <v>100</v>
      </c>
      <c r="K30" s="18" t="s">
        <v>120</v>
      </c>
      <c r="L30" s="6"/>
      <c r="M30" s="6"/>
      <c r="N30" s="58" t="s">
        <v>291</v>
      </c>
      <c r="O30" s="258"/>
      <c r="P30" s="257"/>
      <c r="Q30" s="259"/>
      <c r="R30" s="257"/>
    </row>
    <row r="31" spans="1:18" ht="21.75" customHeight="1" x14ac:dyDescent="0.25">
      <c r="A31" s="27">
        <v>21</v>
      </c>
      <c r="B31" s="6" t="s">
        <v>121</v>
      </c>
      <c r="C31" s="31" t="s">
        <v>67</v>
      </c>
      <c r="D31" s="20" t="s">
        <v>105</v>
      </c>
      <c r="E31" s="181"/>
      <c r="F31" s="6"/>
      <c r="G31" s="34" t="s">
        <v>72</v>
      </c>
      <c r="H31" s="177" t="s">
        <v>122</v>
      </c>
      <c r="I31" s="238" t="s">
        <v>123</v>
      </c>
      <c r="J31" s="116">
        <v>37</v>
      </c>
      <c r="K31" s="18" t="s">
        <v>124</v>
      </c>
      <c r="L31" s="6"/>
      <c r="M31" s="58"/>
      <c r="N31" s="242" t="s">
        <v>125</v>
      </c>
      <c r="O31" s="236" t="s">
        <v>93</v>
      </c>
      <c r="P31" s="248"/>
      <c r="Q31" s="246"/>
      <c r="R31" s="248"/>
    </row>
    <row r="32" spans="1:18" ht="12" customHeight="1" x14ac:dyDescent="0.25">
      <c r="A32" s="35"/>
      <c r="B32" s="49"/>
      <c r="C32" s="37"/>
      <c r="D32" s="40"/>
      <c r="E32" s="179"/>
      <c r="F32" s="49"/>
      <c r="G32" s="37"/>
      <c r="H32" s="186"/>
      <c r="I32" s="187"/>
      <c r="J32" s="107"/>
      <c r="K32" s="67"/>
      <c r="L32" s="49"/>
      <c r="M32" s="49"/>
      <c r="N32" s="69"/>
      <c r="O32" s="46"/>
      <c r="P32" s="46"/>
      <c r="Q32" s="46"/>
      <c r="R32" s="233"/>
    </row>
    <row r="33" spans="1:18" ht="21.75" customHeight="1" x14ac:dyDescent="0.25">
      <c r="A33" s="27">
        <v>22</v>
      </c>
      <c r="B33" s="20" t="s">
        <v>126</v>
      </c>
      <c r="C33" s="54" t="s">
        <v>21</v>
      </c>
      <c r="D33" s="20" t="s">
        <v>127</v>
      </c>
      <c r="E33" s="181"/>
      <c r="F33" s="20"/>
      <c r="G33" s="54" t="s">
        <v>23</v>
      </c>
      <c r="H33" s="188" t="s">
        <v>128</v>
      </c>
      <c r="I33" s="188" t="s">
        <v>129</v>
      </c>
      <c r="J33" s="116">
        <v>62</v>
      </c>
      <c r="K33" s="110"/>
      <c r="L33" s="20" t="s">
        <v>113</v>
      </c>
      <c r="M33" s="20"/>
      <c r="N33" s="58" t="s">
        <v>291</v>
      </c>
      <c r="O33" s="251" t="s">
        <v>130</v>
      </c>
      <c r="P33" s="256" t="s">
        <v>131</v>
      </c>
      <c r="Q33" s="245" t="s">
        <v>132</v>
      </c>
      <c r="R33" s="247" t="s">
        <v>30</v>
      </c>
    </row>
    <row r="34" spans="1:18" ht="21.75" customHeight="1" x14ac:dyDescent="0.25">
      <c r="A34" s="27">
        <v>23</v>
      </c>
      <c r="B34" s="20" t="s">
        <v>133</v>
      </c>
      <c r="C34" s="54" t="s">
        <v>21</v>
      </c>
      <c r="D34" s="20" t="s">
        <v>127</v>
      </c>
      <c r="E34" s="181"/>
      <c r="F34" s="20"/>
      <c r="G34" s="54" t="s">
        <v>32</v>
      </c>
      <c r="H34" s="20" t="s">
        <v>134</v>
      </c>
      <c r="I34" s="20" t="s">
        <v>135</v>
      </c>
      <c r="J34" s="116">
        <v>164</v>
      </c>
      <c r="K34" s="216"/>
      <c r="L34" s="20" t="s">
        <v>113</v>
      </c>
      <c r="M34" s="20"/>
      <c r="N34" s="58"/>
      <c r="O34" s="249"/>
      <c r="P34" s="257"/>
      <c r="Q34" s="257"/>
      <c r="R34" s="257"/>
    </row>
    <row r="35" spans="1:18" ht="21.75" customHeight="1" x14ac:dyDescent="0.25">
      <c r="A35" s="27">
        <v>24</v>
      </c>
      <c r="B35" s="20" t="s">
        <v>136</v>
      </c>
      <c r="C35" s="54" t="s">
        <v>67</v>
      </c>
      <c r="D35" s="20" t="s">
        <v>127</v>
      </c>
      <c r="E35" s="181"/>
      <c r="F35" s="20"/>
      <c r="G35" s="54" t="s">
        <v>68</v>
      </c>
      <c r="H35" s="20" t="s">
        <v>137</v>
      </c>
      <c r="I35" s="20" t="s">
        <v>138</v>
      </c>
      <c r="J35" s="152">
        <v>100</v>
      </c>
      <c r="K35" s="6" t="s">
        <v>35</v>
      </c>
      <c r="L35" s="110"/>
      <c r="M35" s="20"/>
      <c r="N35" s="58"/>
      <c r="O35" s="249"/>
      <c r="P35" s="257"/>
      <c r="Q35" s="257"/>
      <c r="R35" s="257"/>
    </row>
    <row r="36" spans="1:18" ht="21.75" customHeight="1" x14ac:dyDescent="0.25">
      <c r="A36" s="27">
        <v>25</v>
      </c>
      <c r="B36" s="20" t="s">
        <v>139</v>
      </c>
      <c r="C36" s="54" t="s">
        <v>67</v>
      </c>
      <c r="D36" s="20" t="s">
        <v>127</v>
      </c>
      <c r="E36" s="181"/>
      <c r="F36" s="20"/>
      <c r="G36" s="34" t="s">
        <v>72</v>
      </c>
      <c r="H36" s="188" t="s">
        <v>140</v>
      </c>
      <c r="I36" s="237" t="s">
        <v>141</v>
      </c>
      <c r="J36" s="152">
        <v>37</v>
      </c>
      <c r="K36" s="6" t="s">
        <v>60</v>
      </c>
      <c r="L36" s="110"/>
      <c r="M36" s="20"/>
      <c r="N36" s="58"/>
      <c r="O36" s="250"/>
      <c r="P36" s="248"/>
      <c r="Q36" s="248"/>
      <c r="R36" s="248"/>
    </row>
    <row r="37" spans="1:18" ht="13.5" customHeight="1" x14ac:dyDescent="0.25">
      <c r="A37" s="35"/>
      <c r="B37" s="68"/>
      <c r="C37" s="37"/>
      <c r="D37" s="40"/>
      <c r="E37" s="179"/>
      <c r="F37" s="68"/>
      <c r="G37" s="38"/>
      <c r="H37" s="189"/>
      <c r="I37" s="190"/>
      <c r="J37" s="107"/>
      <c r="K37" s="65"/>
      <c r="L37" s="68"/>
      <c r="M37" s="68"/>
      <c r="N37" s="69"/>
      <c r="O37" s="46"/>
      <c r="P37" s="46"/>
      <c r="Q37" s="46"/>
      <c r="R37" s="233"/>
    </row>
    <row r="38" spans="1:18" ht="27" customHeight="1" x14ac:dyDescent="0.25">
      <c r="A38" s="27">
        <v>26</v>
      </c>
      <c r="B38" s="6" t="s">
        <v>142</v>
      </c>
      <c r="C38" s="31" t="s">
        <v>77</v>
      </c>
      <c r="D38" s="89"/>
      <c r="E38" s="20" t="s">
        <v>143</v>
      </c>
      <c r="F38" s="6"/>
      <c r="G38" s="34" t="s">
        <v>79</v>
      </c>
      <c r="H38" s="177" t="s">
        <v>144</v>
      </c>
      <c r="I38" s="177" t="s">
        <v>145</v>
      </c>
      <c r="J38" s="116">
        <v>28</v>
      </c>
      <c r="K38" s="18" t="s">
        <v>35</v>
      </c>
      <c r="L38" s="6"/>
      <c r="M38" s="6"/>
      <c r="N38" s="58" t="s">
        <v>291</v>
      </c>
      <c r="O38" s="251" t="s">
        <v>130</v>
      </c>
      <c r="P38" s="247" t="s">
        <v>83</v>
      </c>
      <c r="Q38" s="255" t="s">
        <v>100</v>
      </c>
      <c r="R38" s="256" t="s">
        <v>30</v>
      </c>
    </row>
    <row r="39" spans="1:18" ht="36.75" customHeight="1" x14ac:dyDescent="0.25">
      <c r="A39" s="27">
        <v>27</v>
      </c>
      <c r="B39" s="6" t="s">
        <v>146</v>
      </c>
      <c r="C39" s="31" t="s">
        <v>77</v>
      </c>
      <c r="D39" s="89"/>
      <c r="E39" s="20" t="s">
        <v>143</v>
      </c>
      <c r="F39" s="6"/>
      <c r="G39" s="34" t="s">
        <v>86</v>
      </c>
      <c r="H39" s="6" t="s">
        <v>147</v>
      </c>
      <c r="I39" s="6" t="s">
        <v>148</v>
      </c>
      <c r="J39" s="116">
        <v>86</v>
      </c>
      <c r="K39" s="18" t="s">
        <v>35</v>
      </c>
      <c r="L39" s="6"/>
      <c r="M39" s="6"/>
      <c r="N39" s="58"/>
      <c r="O39" s="254"/>
      <c r="P39" s="248"/>
      <c r="Q39" s="254"/>
      <c r="R39" s="248"/>
    </row>
    <row r="40" spans="1:18" ht="14.25" customHeight="1" x14ac:dyDescent="0.25">
      <c r="A40" s="35"/>
      <c r="B40" s="49"/>
      <c r="C40" s="37"/>
      <c r="D40" s="40"/>
      <c r="E40" s="179"/>
      <c r="F40" s="49"/>
      <c r="G40" s="38"/>
      <c r="H40" s="49"/>
      <c r="I40" s="49"/>
      <c r="J40" s="107"/>
      <c r="K40" s="61"/>
      <c r="L40" s="49"/>
      <c r="M40" s="49"/>
      <c r="N40" s="57"/>
      <c r="O40" s="46"/>
      <c r="P40" s="46"/>
      <c r="Q40" s="46"/>
      <c r="R40" s="233"/>
    </row>
    <row r="41" spans="1:18" ht="27" customHeight="1" x14ac:dyDescent="0.25">
      <c r="A41" s="27">
        <v>28</v>
      </c>
      <c r="B41" s="6" t="s">
        <v>149</v>
      </c>
      <c r="C41" s="31" t="s">
        <v>77</v>
      </c>
      <c r="D41" s="89"/>
      <c r="E41" s="20" t="s">
        <v>150</v>
      </c>
      <c r="F41" s="6"/>
      <c r="G41" s="34" t="s">
        <v>79</v>
      </c>
      <c r="H41" s="177" t="s">
        <v>151</v>
      </c>
      <c r="I41" s="177" t="s">
        <v>152</v>
      </c>
      <c r="J41" s="116">
        <v>28</v>
      </c>
      <c r="K41" s="18" t="s">
        <v>26</v>
      </c>
      <c r="L41" s="6"/>
      <c r="M41" s="6"/>
      <c r="N41" s="58" t="s">
        <v>291</v>
      </c>
      <c r="O41" s="251" t="s">
        <v>108</v>
      </c>
      <c r="P41" s="247" t="s">
        <v>83</v>
      </c>
      <c r="Q41" s="245" t="s">
        <v>100</v>
      </c>
      <c r="R41" s="256" t="s">
        <v>30</v>
      </c>
    </row>
    <row r="42" spans="1:18" ht="32.25" customHeight="1" x14ac:dyDescent="0.25">
      <c r="A42" s="27">
        <v>29</v>
      </c>
      <c r="B42" s="6" t="s">
        <v>153</v>
      </c>
      <c r="C42" s="31" t="s">
        <v>77</v>
      </c>
      <c r="D42" s="89"/>
      <c r="E42" s="20" t="s">
        <v>150</v>
      </c>
      <c r="F42" s="6"/>
      <c r="G42" s="34" t="s">
        <v>86</v>
      </c>
      <c r="H42" s="6" t="s">
        <v>154</v>
      </c>
      <c r="I42" s="6" t="s">
        <v>155</v>
      </c>
      <c r="J42" s="116">
        <v>86</v>
      </c>
      <c r="K42" s="18" t="s">
        <v>26</v>
      </c>
      <c r="L42" s="6"/>
      <c r="M42" s="6"/>
      <c r="N42" s="58"/>
      <c r="O42" s="254"/>
      <c r="P42" s="248"/>
      <c r="Q42" s="246"/>
      <c r="R42" s="248"/>
    </row>
    <row r="43" spans="1:18" ht="13.5" customHeight="1" x14ac:dyDescent="0.25">
      <c r="A43" s="35"/>
      <c r="B43" s="49"/>
      <c r="C43" s="37"/>
      <c r="D43" s="40"/>
      <c r="E43" s="179"/>
      <c r="F43" s="49"/>
      <c r="G43" s="37"/>
      <c r="H43" s="49"/>
      <c r="I43" s="49"/>
      <c r="J43" s="107"/>
      <c r="K43" s="67"/>
      <c r="L43" s="49"/>
      <c r="M43" s="49"/>
      <c r="N43" s="57"/>
      <c r="O43" s="46"/>
      <c r="P43" s="46"/>
      <c r="Q43" s="46"/>
      <c r="R43" s="233"/>
    </row>
    <row r="44" spans="1:18" ht="26.25" customHeight="1" x14ac:dyDescent="0.25">
      <c r="A44" s="27">
        <v>30</v>
      </c>
      <c r="B44" s="20" t="s">
        <v>156</v>
      </c>
      <c r="C44" s="54" t="s">
        <v>77</v>
      </c>
      <c r="D44" s="89"/>
      <c r="E44" s="23" t="s">
        <v>157</v>
      </c>
      <c r="F44" s="20"/>
      <c r="G44" s="54" t="s">
        <v>79</v>
      </c>
      <c r="H44" s="188" t="s">
        <v>158</v>
      </c>
      <c r="I44" s="188" t="s">
        <v>159</v>
      </c>
      <c r="J44" s="116">
        <v>28</v>
      </c>
      <c r="K44" s="110" t="s">
        <v>35</v>
      </c>
      <c r="L44" s="20"/>
      <c r="M44" s="20"/>
      <c r="N44" s="58" t="s">
        <v>291</v>
      </c>
      <c r="O44" s="251" t="s">
        <v>61</v>
      </c>
      <c r="P44" s="247" t="s">
        <v>83</v>
      </c>
      <c r="Q44" s="245" t="s">
        <v>100</v>
      </c>
      <c r="R44" s="256" t="s">
        <v>30</v>
      </c>
    </row>
    <row r="45" spans="1:18" ht="32.25" customHeight="1" x14ac:dyDescent="0.25">
      <c r="A45" s="27">
        <v>31</v>
      </c>
      <c r="B45" s="20" t="s">
        <v>160</v>
      </c>
      <c r="C45" s="54" t="s">
        <v>77</v>
      </c>
      <c r="D45" s="89"/>
      <c r="E45" s="23" t="s">
        <v>157</v>
      </c>
      <c r="F45" s="20"/>
      <c r="G45" s="54" t="s">
        <v>86</v>
      </c>
      <c r="H45" s="20" t="s">
        <v>161</v>
      </c>
      <c r="I45" s="20" t="s">
        <v>162</v>
      </c>
      <c r="J45" s="116">
        <v>86</v>
      </c>
      <c r="K45" s="110" t="s">
        <v>26</v>
      </c>
      <c r="L45" s="20"/>
      <c r="M45" s="20"/>
      <c r="N45" s="58"/>
      <c r="O45" s="254"/>
      <c r="P45" s="248"/>
      <c r="Q45" s="246"/>
      <c r="R45" s="248"/>
    </row>
    <row r="46" spans="1:18" ht="14.25" customHeight="1" x14ac:dyDescent="0.25">
      <c r="A46" s="35"/>
      <c r="B46" s="68"/>
      <c r="C46" s="37"/>
      <c r="D46" s="40"/>
      <c r="E46" s="179"/>
      <c r="F46" s="68"/>
      <c r="G46" s="38"/>
      <c r="H46" s="68"/>
      <c r="I46" s="68"/>
      <c r="J46" s="107"/>
      <c r="K46" s="65"/>
      <c r="L46" s="68"/>
      <c r="M46" s="68"/>
      <c r="N46" s="69"/>
      <c r="O46" s="46"/>
      <c r="P46" s="46"/>
      <c r="Q46" s="46"/>
      <c r="R46" s="233"/>
    </row>
    <row r="47" spans="1:18" ht="21.75" customHeight="1" x14ac:dyDescent="0.25">
      <c r="A47" s="27">
        <v>32</v>
      </c>
      <c r="B47" s="6" t="s">
        <v>163</v>
      </c>
      <c r="C47" s="30" t="s">
        <v>21</v>
      </c>
      <c r="D47" s="17" t="s">
        <v>164</v>
      </c>
      <c r="E47" s="181"/>
      <c r="F47" s="6"/>
      <c r="G47" s="33" t="s">
        <v>23</v>
      </c>
      <c r="H47" s="177" t="s">
        <v>165</v>
      </c>
      <c r="I47" s="191" t="s">
        <v>166</v>
      </c>
      <c r="J47" s="116">
        <v>62</v>
      </c>
      <c r="K47" s="18" t="s">
        <v>35</v>
      </c>
      <c r="L47" s="6"/>
      <c r="M47" s="6"/>
      <c r="N47" s="58" t="s">
        <v>167</v>
      </c>
      <c r="O47" s="251" t="s">
        <v>168</v>
      </c>
      <c r="P47" s="252" t="s">
        <v>28</v>
      </c>
      <c r="Q47" s="251" t="s">
        <v>169</v>
      </c>
      <c r="R47" s="256" t="s">
        <v>30</v>
      </c>
    </row>
    <row r="48" spans="1:18" ht="20.25" customHeight="1" x14ac:dyDescent="0.25">
      <c r="A48" s="27">
        <v>33</v>
      </c>
      <c r="B48" s="6" t="s">
        <v>170</v>
      </c>
      <c r="C48" s="31" t="s">
        <v>67</v>
      </c>
      <c r="D48" s="26" t="s">
        <v>164</v>
      </c>
      <c r="E48" s="181"/>
      <c r="F48" s="11"/>
      <c r="G48" s="34" t="s">
        <v>72</v>
      </c>
      <c r="H48" s="182" t="s">
        <v>171</v>
      </c>
      <c r="I48" s="192" t="s">
        <v>172</v>
      </c>
      <c r="J48" s="116">
        <v>37</v>
      </c>
      <c r="K48" s="64"/>
      <c r="L48" s="11" t="s">
        <v>173</v>
      </c>
      <c r="M48" s="11"/>
      <c r="N48" s="58" t="s">
        <v>167</v>
      </c>
      <c r="O48" s="249"/>
      <c r="P48" s="253"/>
      <c r="Q48" s="249"/>
      <c r="R48" s="257"/>
    </row>
    <row r="49" spans="1:18" ht="21.75" customHeight="1" x14ac:dyDescent="0.25">
      <c r="A49" s="27">
        <v>34</v>
      </c>
      <c r="B49" s="6" t="s">
        <v>174</v>
      </c>
      <c r="C49" s="31" t="s">
        <v>21</v>
      </c>
      <c r="D49" s="24" t="s">
        <v>164</v>
      </c>
      <c r="E49" s="181"/>
      <c r="F49" s="47"/>
      <c r="G49" s="31" t="s">
        <v>32</v>
      </c>
      <c r="H49" s="47" t="s">
        <v>175</v>
      </c>
      <c r="I49" s="47" t="s">
        <v>176</v>
      </c>
      <c r="J49" s="116">
        <v>164</v>
      </c>
      <c r="K49" s="48" t="s">
        <v>26</v>
      </c>
      <c r="L49" s="47"/>
      <c r="M49" s="47"/>
      <c r="N49" s="58" t="s">
        <v>291</v>
      </c>
      <c r="O49" s="249" t="s">
        <v>177</v>
      </c>
      <c r="P49" s="253"/>
      <c r="Q49" s="249"/>
      <c r="R49" s="257"/>
    </row>
    <row r="50" spans="1:18" ht="21.75" customHeight="1" x14ac:dyDescent="0.25">
      <c r="A50" s="27">
        <v>35</v>
      </c>
      <c r="B50" s="6" t="s">
        <v>178</v>
      </c>
      <c r="C50" s="54" t="s">
        <v>67</v>
      </c>
      <c r="D50" s="20" t="s">
        <v>164</v>
      </c>
      <c r="E50" s="181"/>
      <c r="F50" s="20"/>
      <c r="G50" s="54" t="s">
        <v>68</v>
      </c>
      <c r="H50" s="20" t="s">
        <v>179</v>
      </c>
      <c r="I50" s="20" t="s">
        <v>180</v>
      </c>
      <c r="J50" s="116">
        <v>100</v>
      </c>
      <c r="K50" s="110" t="s">
        <v>124</v>
      </c>
      <c r="L50" s="20"/>
      <c r="M50" s="20"/>
      <c r="N50" s="58" t="s">
        <v>291</v>
      </c>
      <c r="O50" s="250"/>
      <c r="P50" s="254"/>
      <c r="Q50" s="250"/>
      <c r="R50" s="248"/>
    </row>
    <row r="51" spans="1:18" ht="13.5" customHeight="1" x14ac:dyDescent="0.25">
      <c r="A51" s="35"/>
      <c r="B51" s="40"/>
      <c r="C51" s="40"/>
      <c r="D51" s="40"/>
      <c r="E51" s="181"/>
      <c r="F51" s="40"/>
      <c r="G51" s="40"/>
      <c r="H51" s="40"/>
      <c r="I51" s="40"/>
      <c r="J51" s="109"/>
      <c r="K51" s="40"/>
      <c r="L51" s="40"/>
      <c r="M51" s="40"/>
      <c r="N51" s="40"/>
      <c r="O51" s="46"/>
      <c r="P51" s="46"/>
      <c r="Q51" s="46"/>
      <c r="R51" s="233"/>
    </row>
    <row r="52" spans="1:18" ht="19.5" customHeight="1" x14ac:dyDescent="0.25">
      <c r="A52" s="27">
        <v>36</v>
      </c>
      <c r="B52" s="11" t="s">
        <v>181</v>
      </c>
      <c r="C52" s="31" t="s">
        <v>67</v>
      </c>
      <c r="D52" s="32" t="s">
        <v>182</v>
      </c>
      <c r="E52" s="181"/>
      <c r="F52" s="11"/>
      <c r="G52" s="34" t="s">
        <v>68</v>
      </c>
      <c r="H52" s="11" t="s">
        <v>183</v>
      </c>
      <c r="I52" s="159" t="s">
        <v>184</v>
      </c>
      <c r="J52" s="116">
        <v>110</v>
      </c>
      <c r="K52" s="18" t="s">
        <v>35</v>
      </c>
      <c r="L52" s="11" t="s">
        <v>173</v>
      </c>
      <c r="M52" s="11"/>
      <c r="N52" s="59" t="s">
        <v>167</v>
      </c>
      <c r="O52" s="239" t="s">
        <v>185</v>
      </c>
      <c r="P52" s="252" t="s">
        <v>131</v>
      </c>
      <c r="Q52" s="251" t="s">
        <v>186</v>
      </c>
      <c r="R52" s="256" t="s">
        <v>30</v>
      </c>
    </row>
    <row r="53" spans="1:18" ht="19.5" customHeight="1" x14ac:dyDescent="0.25">
      <c r="A53" s="52">
        <v>37</v>
      </c>
      <c r="B53" s="11" t="s">
        <v>187</v>
      </c>
      <c r="C53" s="54" t="s">
        <v>67</v>
      </c>
      <c r="D53" s="53" t="s">
        <v>182</v>
      </c>
      <c r="E53" s="193"/>
      <c r="F53" s="53"/>
      <c r="G53" s="34" t="s">
        <v>72</v>
      </c>
      <c r="H53" s="188" t="s">
        <v>188</v>
      </c>
      <c r="I53" s="194" t="s">
        <v>189</v>
      </c>
      <c r="J53" s="116">
        <v>37</v>
      </c>
      <c r="K53" s="110" t="s">
        <v>35</v>
      </c>
      <c r="L53" s="20"/>
      <c r="M53" s="20"/>
      <c r="N53" s="151" t="s">
        <v>190</v>
      </c>
      <c r="O53" s="26" t="s">
        <v>82</v>
      </c>
      <c r="P53" s="254"/>
      <c r="Q53" s="254"/>
      <c r="R53" s="248"/>
    </row>
    <row r="54" spans="1:18" ht="12" customHeight="1" x14ac:dyDescent="0.25">
      <c r="A54" s="77"/>
      <c r="B54" s="78"/>
      <c r="C54" s="70"/>
      <c r="D54" s="78"/>
      <c r="E54" s="193"/>
      <c r="F54" s="78"/>
      <c r="G54" s="37"/>
      <c r="H54" s="195"/>
      <c r="I54" s="196"/>
      <c r="J54" s="107"/>
      <c r="K54" s="112"/>
      <c r="L54" s="78"/>
      <c r="M54" s="78"/>
      <c r="N54" s="113"/>
      <c r="O54" s="46"/>
      <c r="P54" s="46"/>
      <c r="Q54" s="46"/>
      <c r="R54" s="233"/>
    </row>
    <row r="55" spans="1:18" ht="29.25" customHeight="1" x14ac:dyDescent="0.25">
      <c r="A55" s="212">
        <v>38</v>
      </c>
      <c r="B55" s="53" t="s">
        <v>191</v>
      </c>
      <c r="C55" s="66" t="s">
        <v>67</v>
      </c>
      <c r="D55" s="24" t="s">
        <v>192</v>
      </c>
      <c r="E55" s="222"/>
      <c r="F55" s="53"/>
      <c r="G55" s="66" t="s">
        <v>72</v>
      </c>
      <c r="H55" s="223" t="s">
        <v>193</v>
      </c>
      <c r="I55" s="224" t="s">
        <v>194</v>
      </c>
      <c r="J55" s="205">
        <v>37</v>
      </c>
      <c r="K55" s="216" t="s">
        <v>124</v>
      </c>
      <c r="L55" s="53"/>
      <c r="M55" s="53"/>
      <c r="N55" s="225" t="s">
        <v>167</v>
      </c>
      <c r="O55" s="239" t="s">
        <v>82</v>
      </c>
      <c r="P55" s="53" t="s">
        <v>195</v>
      </c>
      <c r="Q55" s="240" t="s">
        <v>196</v>
      </c>
      <c r="R55" s="207" t="s">
        <v>30</v>
      </c>
    </row>
    <row r="56" spans="1:18" ht="19.5" customHeight="1" x14ac:dyDescent="0.25">
      <c r="A56" s="226">
        <v>39</v>
      </c>
      <c r="B56" s="227" t="s">
        <v>197</v>
      </c>
      <c r="C56" s="227"/>
      <c r="D56" s="227" t="s">
        <v>198</v>
      </c>
      <c r="E56" s="228"/>
      <c r="F56" s="227"/>
      <c r="G56" s="229" t="s">
        <v>38</v>
      </c>
      <c r="H56" s="227" t="s">
        <v>199</v>
      </c>
      <c r="I56" s="227" t="s">
        <v>200</v>
      </c>
      <c r="J56" s="89"/>
      <c r="K56" s="89"/>
      <c r="L56" s="89"/>
      <c r="M56" s="89"/>
      <c r="N56" s="89"/>
      <c r="O56" s="88"/>
      <c r="P56" s="89"/>
      <c r="Q56" s="89"/>
      <c r="R56" s="89"/>
    </row>
    <row r="57" spans="1:18" ht="19.5" customHeight="1" x14ac:dyDescent="0.25"/>
    <row r="58" spans="1:18" ht="19.5" customHeight="1" x14ac:dyDescent="0.25"/>
    <row r="59" spans="1:18" ht="19.5" customHeight="1" x14ac:dyDescent="0.25"/>
    <row r="60" spans="1:18" ht="19.5" customHeight="1" x14ac:dyDescent="0.25"/>
    <row r="61" spans="1:18" ht="21.75" customHeight="1" x14ac:dyDescent="0.25"/>
    <row r="62" spans="1:18" ht="21.75" customHeight="1" x14ac:dyDescent="0.25"/>
    <row r="63" spans="1:18" ht="21.75" customHeight="1" x14ac:dyDescent="0.25"/>
    <row r="64" spans="1:18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19.5" customHeight="1" x14ac:dyDescent="0.25"/>
    <row r="72" ht="19.5" customHeight="1" x14ac:dyDescent="0.25"/>
    <row r="73" ht="19.5" customHeight="1" x14ac:dyDescent="0.25"/>
  </sheetData>
  <mergeCells count="54">
    <mergeCell ref="Q52:Q53"/>
    <mergeCell ref="P52:P53"/>
    <mergeCell ref="R52:R53"/>
    <mergeCell ref="R47:R50"/>
    <mergeCell ref="R44:R45"/>
    <mergeCell ref="P44:P45"/>
    <mergeCell ref="Q44:Q45"/>
    <mergeCell ref="A1:I1"/>
    <mergeCell ref="A2:I2"/>
    <mergeCell ref="O13:O16"/>
    <mergeCell ref="O24:O25"/>
    <mergeCell ref="O21:O22"/>
    <mergeCell ref="O18:O19"/>
    <mergeCell ref="O5:O7"/>
    <mergeCell ref="O9:O11"/>
    <mergeCell ref="R18:R19"/>
    <mergeCell ref="R21:R22"/>
    <mergeCell ref="R24:R25"/>
    <mergeCell ref="O33:O36"/>
    <mergeCell ref="O44:O45"/>
    <mergeCell ref="O41:O42"/>
    <mergeCell ref="O38:O39"/>
    <mergeCell ref="O27:O30"/>
    <mergeCell ref="P27:P31"/>
    <mergeCell ref="Q27:Q31"/>
    <mergeCell ref="R27:R31"/>
    <mergeCell ref="P33:P36"/>
    <mergeCell ref="R33:R36"/>
    <mergeCell ref="Q33:Q36"/>
    <mergeCell ref="R38:R39"/>
    <mergeCell ref="R41:R42"/>
    <mergeCell ref="R5:R7"/>
    <mergeCell ref="P9:P11"/>
    <mergeCell ref="Q9:Q11"/>
    <mergeCell ref="R9:R11"/>
    <mergeCell ref="P13:P16"/>
    <mergeCell ref="Q13:Q16"/>
    <mergeCell ref="R13:R16"/>
    <mergeCell ref="P5:P7"/>
    <mergeCell ref="Q5:Q7"/>
    <mergeCell ref="Q21:Q22"/>
    <mergeCell ref="P18:P19"/>
    <mergeCell ref="P24:P25"/>
    <mergeCell ref="Q24:Q25"/>
    <mergeCell ref="O49:O50"/>
    <mergeCell ref="O47:O48"/>
    <mergeCell ref="P21:P22"/>
    <mergeCell ref="Q18:Q19"/>
    <mergeCell ref="P47:P50"/>
    <mergeCell ref="Q47:Q50"/>
    <mergeCell ref="P38:P39"/>
    <mergeCell ref="Q38:Q39"/>
    <mergeCell ref="P41:P42"/>
    <mergeCell ref="Q41:Q42"/>
  </mergeCells>
  <pageMargins left="0.7" right="0.7" top="0.75" bottom="0.75" header="0.3" footer="0.3"/>
  <pageSetup paperSize="9" scale="62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B3497-CEB8-4DD4-B19C-ABECBB9491DD}">
  <sheetPr>
    <pageSetUpPr fitToPage="1"/>
  </sheetPr>
  <dimension ref="A1:T73"/>
  <sheetViews>
    <sheetView topLeftCell="A18" zoomScale="80" zoomScaleNormal="80" workbookViewId="0">
      <pane xSplit="9" topLeftCell="L1" activePane="topRight" state="frozen"/>
      <selection pane="topRight" activeCell="S14" sqref="S14"/>
    </sheetView>
  </sheetViews>
  <sheetFormatPr defaultRowHeight="15" x14ac:dyDescent="0.25"/>
  <cols>
    <col min="1" max="1" width="5.7109375" style="27" hidden="1" customWidth="1"/>
    <col min="2" max="2" width="9.140625" customWidth="1"/>
    <col min="3" max="3" width="10.7109375" hidden="1" customWidth="1"/>
    <col min="4" max="4" width="10.7109375" bestFit="1" customWidth="1"/>
    <col min="5" max="5" width="10.7109375" style="73" customWidth="1"/>
    <col min="6" max="6" width="10.7109375" customWidth="1"/>
    <col min="7" max="7" width="17" bestFit="1" customWidth="1"/>
    <col min="8" max="8" width="12.7109375" customWidth="1"/>
    <col min="9" max="9" width="40" bestFit="1" customWidth="1"/>
    <col min="10" max="10" width="38.85546875" hidden="1" customWidth="1"/>
    <col min="11" max="11" width="25.42578125" hidden="1" customWidth="1"/>
    <col min="12" max="12" width="9.140625" customWidth="1"/>
    <col min="15" max="15" width="13.85546875" bestFit="1" customWidth="1"/>
    <col min="16" max="16" width="13.85546875" customWidth="1"/>
    <col min="17" max="17" width="12.28515625" bestFit="1" customWidth="1"/>
    <col min="18" max="18" width="12.28515625" customWidth="1"/>
    <col min="19" max="19" width="11.85546875" bestFit="1" customWidth="1"/>
    <col min="20" max="20" width="55.7109375" customWidth="1"/>
  </cols>
  <sheetData>
    <row r="1" spans="1:20" x14ac:dyDescent="0.25">
      <c r="A1" s="262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  <c r="N1" s="114"/>
    </row>
    <row r="2" spans="1:20" x14ac:dyDescent="0.25">
      <c r="A2" s="263" t="s">
        <v>1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115"/>
    </row>
    <row r="4" spans="1:20" ht="51" x14ac:dyDescent="0.25">
      <c r="A4" s="29" t="s">
        <v>2</v>
      </c>
      <c r="B4" s="28" t="s">
        <v>3</v>
      </c>
      <c r="C4" s="1" t="s">
        <v>4</v>
      </c>
      <c r="D4" s="75" t="s">
        <v>5</v>
      </c>
      <c r="E4" s="75" t="s">
        <v>6</v>
      </c>
      <c r="F4" s="74" t="s">
        <v>7</v>
      </c>
      <c r="G4" s="28" t="s">
        <v>8</v>
      </c>
      <c r="H4" s="3" t="s">
        <v>9</v>
      </c>
      <c r="I4" s="1" t="s">
        <v>10</v>
      </c>
      <c r="J4" s="1" t="s">
        <v>201</v>
      </c>
      <c r="K4" s="1" t="s">
        <v>202</v>
      </c>
      <c r="L4" s="1" t="s">
        <v>203</v>
      </c>
      <c r="M4" s="119" t="s">
        <v>204</v>
      </c>
      <c r="N4" s="118" t="s">
        <v>11</v>
      </c>
      <c r="O4" s="130" t="s">
        <v>12</v>
      </c>
      <c r="P4" s="131" t="s">
        <v>261</v>
      </c>
      <c r="Q4" s="2" t="s">
        <v>13</v>
      </c>
      <c r="R4" s="137" t="s">
        <v>262</v>
      </c>
      <c r="S4" s="2" t="s">
        <v>14</v>
      </c>
      <c r="T4" s="2" t="s">
        <v>15</v>
      </c>
    </row>
    <row r="5" spans="1:20" ht="21.75" customHeight="1" x14ac:dyDescent="0.25">
      <c r="A5" s="27">
        <v>1</v>
      </c>
      <c r="B5" s="6" t="s">
        <v>20</v>
      </c>
      <c r="C5" s="30" t="s">
        <v>21</v>
      </c>
      <c r="D5" s="47" t="s">
        <v>22</v>
      </c>
      <c r="E5" s="85"/>
      <c r="F5" s="11"/>
      <c r="G5" s="33" t="s">
        <v>23</v>
      </c>
      <c r="H5" s="5" t="s">
        <v>24</v>
      </c>
      <c r="I5" s="5" t="s">
        <v>25</v>
      </c>
      <c r="J5" s="6" t="s">
        <v>205</v>
      </c>
      <c r="K5" s="6" t="s">
        <v>213</v>
      </c>
      <c r="L5" s="58"/>
      <c r="M5" s="120">
        <v>52</v>
      </c>
      <c r="N5" s="116">
        <v>62</v>
      </c>
      <c r="O5" s="18" t="s">
        <v>26</v>
      </c>
      <c r="P5" s="264">
        <f>SUM(N5:N6)</f>
        <v>226</v>
      </c>
      <c r="Q5" s="6"/>
      <c r="R5" s="138"/>
      <c r="S5" s="6"/>
      <c r="T5" s="6" t="s">
        <v>27</v>
      </c>
    </row>
    <row r="6" spans="1:20" ht="21.75" customHeight="1" x14ac:dyDescent="0.25">
      <c r="A6" s="27">
        <v>2</v>
      </c>
      <c r="B6" s="11" t="s">
        <v>31</v>
      </c>
      <c r="C6" s="101" t="s">
        <v>21</v>
      </c>
      <c r="D6" s="20" t="s">
        <v>22</v>
      </c>
      <c r="E6" s="102"/>
      <c r="F6" s="11"/>
      <c r="G6" s="34" t="s">
        <v>32</v>
      </c>
      <c r="H6" s="11" t="s">
        <v>33</v>
      </c>
      <c r="I6" s="11" t="s">
        <v>34</v>
      </c>
      <c r="J6" s="11" t="s">
        <v>218</v>
      </c>
      <c r="K6" s="11" t="s">
        <v>219</v>
      </c>
      <c r="L6" s="59"/>
      <c r="M6" s="120">
        <v>134</v>
      </c>
      <c r="N6" s="116">
        <v>164</v>
      </c>
      <c r="O6" s="18" t="s">
        <v>35</v>
      </c>
      <c r="P6" s="265"/>
      <c r="Q6" s="11"/>
      <c r="R6" s="139"/>
      <c r="S6" s="11"/>
      <c r="T6" s="11" t="s">
        <v>36</v>
      </c>
    </row>
    <row r="7" spans="1:20" ht="21.75" customHeight="1" x14ac:dyDescent="0.25">
      <c r="A7" s="27">
        <v>3</v>
      </c>
      <c r="B7" s="11" t="s">
        <v>37</v>
      </c>
      <c r="C7" s="101" t="s">
        <v>21</v>
      </c>
      <c r="D7" s="20" t="s">
        <v>22</v>
      </c>
      <c r="E7" s="102"/>
      <c r="F7" s="11"/>
      <c r="G7" s="34" t="s">
        <v>38</v>
      </c>
      <c r="H7" s="11" t="s">
        <v>39</v>
      </c>
      <c r="I7" s="11" t="s">
        <v>40</v>
      </c>
      <c r="J7" s="11" t="s">
        <v>227</v>
      </c>
      <c r="K7" s="11" t="s">
        <v>228</v>
      </c>
      <c r="L7" s="59"/>
      <c r="M7" s="120">
        <v>140</v>
      </c>
      <c r="N7" s="116">
        <v>170</v>
      </c>
      <c r="O7" s="64"/>
      <c r="P7" s="132"/>
      <c r="Q7" s="6" t="s">
        <v>41</v>
      </c>
      <c r="R7" s="140">
        <f>SUM(N7)</f>
        <v>170</v>
      </c>
      <c r="S7" s="11"/>
      <c r="T7" s="234" t="s">
        <v>263</v>
      </c>
    </row>
    <row r="8" spans="1:20" ht="15" customHeight="1" x14ac:dyDescent="0.25">
      <c r="A8" s="35"/>
      <c r="B8" s="39"/>
      <c r="C8" s="41"/>
      <c r="D8" s="36"/>
      <c r="E8" s="76"/>
      <c r="F8" s="39"/>
      <c r="G8" s="42"/>
      <c r="H8" s="43"/>
      <c r="I8" s="43"/>
      <c r="J8" s="39"/>
      <c r="K8" s="39"/>
      <c r="L8" s="39"/>
      <c r="M8" s="121"/>
      <c r="N8" s="107"/>
      <c r="O8" s="61"/>
      <c r="P8" s="61"/>
      <c r="Q8" s="39"/>
      <c r="R8" s="148"/>
      <c r="S8" s="39"/>
      <c r="T8" s="39"/>
    </row>
    <row r="9" spans="1:20" ht="19.5" customHeight="1" x14ac:dyDescent="0.25">
      <c r="A9" s="27">
        <v>4</v>
      </c>
      <c r="B9" s="6" t="s">
        <v>43</v>
      </c>
      <c r="C9" s="30" t="s">
        <v>21</v>
      </c>
      <c r="D9" s="6" t="s">
        <v>44</v>
      </c>
      <c r="E9" s="86"/>
      <c r="F9" s="6"/>
      <c r="G9" s="33" t="s">
        <v>23</v>
      </c>
      <c r="H9" s="5" t="s">
        <v>45</v>
      </c>
      <c r="I9" s="5" t="s">
        <v>46</v>
      </c>
      <c r="J9" s="6" t="s">
        <v>207</v>
      </c>
      <c r="K9" s="6" t="s">
        <v>208</v>
      </c>
      <c r="L9" s="6"/>
      <c r="M9" s="122">
        <v>52</v>
      </c>
      <c r="N9" s="116">
        <v>62</v>
      </c>
      <c r="O9" s="18"/>
      <c r="P9" s="133"/>
      <c r="Q9" s="6" t="s">
        <v>41</v>
      </c>
      <c r="R9" s="266">
        <f>SUM(N9:N10)</f>
        <v>226</v>
      </c>
      <c r="S9" s="6"/>
      <c r="T9" s="58" t="s">
        <v>291</v>
      </c>
    </row>
    <row r="10" spans="1:20" ht="19.5" customHeight="1" x14ac:dyDescent="0.25">
      <c r="A10" s="27">
        <v>5</v>
      </c>
      <c r="B10" s="6" t="s">
        <v>50</v>
      </c>
      <c r="C10" s="31" t="s">
        <v>21</v>
      </c>
      <c r="D10" s="20" t="s">
        <v>44</v>
      </c>
      <c r="E10" s="86"/>
      <c r="F10" s="18"/>
      <c r="G10" s="34" t="s">
        <v>32</v>
      </c>
      <c r="H10" s="6" t="s">
        <v>51</v>
      </c>
      <c r="I10" s="6" t="s">
        <v>52</v>
      </c>
      <c r="J10" s="6" t="s">
        <v>220</v>
      </c>
      <c r="K10" s="6" t="s">
        <v>221</v>
      </c>
      <c r="L10" s="58"/>
      <c r="M10" s="120">
        <v>134</v>
      </c>
      <c r="N10" s="116">
        <v>164</v>
      </c>
      <c r="O10" s="18"/>
      <c r="P10" s="133"/>
      <c r="Q10" s="6" t="s">
        <v>41</v>
      </c>
      <c r="R10" s="267"/>
      <c r="S10" s="6"/>
      <c r="T10" s="6"/>
    </row>
    <row r="11" spans="1:20" ht="19.5" customHeight="1" x14ac:dyDescent="0.25">
      <c r="A11" s="27">
        <v>6</v>
      </c>
      <c r="B11" s="6" t="s">
        <v>53</v>
      </c>
      <c r="C11" s="31" t="s">
        <v>21</v>
      </c>
      <c r="D11" s="20" t="s">
        <v>44</v>
      </c>
      <c r="E11" s="86"/>
      <c r="F11" s="6"/>
      <c r="G11" s="34" t="s">
        <v>38</v>
      </c>
      <c r="H11" s="6" t="s">
        <v>54</v>
      </c>
      <c r="I11" s="6" t="s">
        <v>55</v>
      </c>
      <c r="J11" s="6" t="s">
        <v>229</v>
      </c>
      <c r="K11" s="16" t="s">
        <v>230</v>
      </c>
      <c r="L11" s="58"/>
      <c r="M11" s="120">
        <v>140</v>
      </c>
      <c r="N11" s="116">
        <v>170</v>
      </c>
      <c r="O11" s="18" t="s">
        <v>35</v>
      </c>
      <c r="P11" s="154">
        <f>SUM(N11)</f>
        <v>170</v>
      </c>
      <c r="Q11" s="6"/>
      <c r="R11" s="138"/>
      <c r="S11" s="6"/>
      <c r="T11" s="6"/>
    </row>
    <row r="12" spans="1:20" ht="15" customHeight="1" x14ac:dyDescent="0.25">
      <c r="A12" s="35"/>
      <c r="B12" s="39"/>
      <c r="C12" s="41"/>
      <c r="D12" s="39"/>
      <c r="E12" s="76"/>
      <c r="F12" s="39"/>
      <c r="G12" s="42"/>
      <c r="H12" s="43"/>
      <c r="I12" s="43"/>
      <c r="J12" s="39"/>
      <c r="K12" s="39"/>
      <c r="L12" s="62"/>
      <c r="M12" s="143"/>
      <c r="N12" s="144"/>
      <c r="O12" s="145"/>
      <c r="P12" s="145"/>
      <c r="Q12" s="146"/>
      <c r="R12" s="147"/>
      <c r="S12" s="39"/>
      <c r="T12" s="39"/>
    </row>
    <row r="13" spans="1:20" ht="21.75" customHeight="1" x14ac:dyDescent="0.25">
      <c r="A13" s="27">
        <v>7</v>
      </c>
      <c r="B13" s="6" t="s">
        <v>56</v>
      </c>
      <c r="C13" s="30" t="s">
        <v>21</v>
      </c>
      <c r="D13" s="6" t="s">
        <v>57</v>
      </c>
      <c r="E13" s="86"/>
      <c r="F13" s="6"/>
      <c r="G13" s="33" t="s">
        <v>23</v>
      </c>
      <c r="H13" s="5" t="s">
        <v>58</v>
      </c>
      <c r="I13" s="5" t="s">
        <v>59</v>
      </c>
      <c r="J13" s="6" t="s">
        <v>210</v>
      </c>
      <c r="K13" s="6" t="s">
        <v>211</v>
      </c>
      <c r="L13" s="58"/>
      <c r="M13" s="120">
        <v>52</v>
      </c>
      <c r="N13" s="116">
        <v>62</v>
      </c>
      <c r="O13" s="18" t="s">
        <v>60</v>
      </c>
      <c r="P13" s="266">
        <f>SUM(N13:N14)</f>
        <v>226</v>
      </c>
      <c r="Q13" s="47"/>
      <c r="R13" s="141"/>
      <c r="S13" s="47"/>
      <c r="T13" s="58" t="s">
        <v>291</v>
      </c>
    </row>
    <row r="14" spans="1:20" ht="21.75" customHeight="1" x14ac:dyDescent="0.25">
      <c r="A14" s="27">
        <v>8</v>
      </c>
      <c r="B14" s="6" t="s">
        <v>63</v>
      </c>
      <c r="C14" s="31" t="s">
        <v>21</v>
      </c>
      <c r="D14" s="53" t="s">
        <v>57</v>
      </c>
      <c r="E14" s="86"/>
      <c r="F14" s="47"/>
      <c r="G14" s="31" t="s">
        <v>32</v>
      </c>
      <c r="H14" s="47" t="s">
        <v>64</v>
      </c>
      <c r="I14" s="47" t="s">
        <v>65</v>
      </c>
      <c r="J14" s="47" t="s">
        <v>222</v>
      </c>
      <c r="K14" s="47" t="s">
        <v>223</v>
      </c>
      <c r="L14" s="60"/>
      <c r="M14" s="120">
        <v>134</v>
      </c>
      <c r="N14" s="116">
        <v>164</v>
      </c>
      <c r="O14" s="48" t="s">
        <v>35</v>
      </c>
      <c r="P14" s="268"/>
      <c r="Q14" s="151"/>
      <c r="R14" s="162"/>
      <c r="S14" s="20"/>
      <c r="T14" s="20"/>
    </row>
    <row r="15" spans="1:20" ht="21.75" customHeight="1" x14ac:dyDescent="0.25">
      <c r="A15" s="27">
        <v>9</v>
      </c>
      <c r="B15" s="6" t="s">
        <v>66</v>
      </c>
      <c r="C15" s="31" t="s">
        <v>67</v>
      </c>
      <c r="D15" s="26" t="s">
        <v>57</v>
      </c>
      <c r="E15" s="86"/>
      <c r="F15" s="11"/>
      <c r="G15" s="34" t="s">
        <v>68</v>
      </c>
      <c r="H15" s="11" t="s">
        <v>69</v>
      </c>
      <c r="I15" s="11" t="s">
        <v>70</v>
      </c>
      <c r="J15" s="11" t="s">
        <v>233</v>
      </c>
      <c r="K15" s="11" t="s">
        <v>221</v>
      </c>
      <c r="L15" s="59"/>
      <c r="M15" s="124">
        <v>75</v>
      </c>
      <c r="N15" s="152">
        <v>100</v>
      </c>
      <c r="O15" s="20"/>
      <c r="P15" s="136"/>
      <c r="Q15" s="110" t="s">
        <v>41</v>
      </c>
      <c r="R15" s="269">
        <f>SUM(N15:N16)</f>
        <v>137</v>
      </c>
      <c r="S15" s="20"/>
      <c r="T15" s="20"/>
    </row>
    <row r="16" spans="1:20" ht="21.75" customHeight="1" x14ac:dyDescent="0.25">
      <c r="A16" s="27">
        <v>10</v>
      </c>
      <c r="B16" s="6" t="s">
        <v>71</v>
      </c>
      <c r="C16" s="31" t="s">
        <v>67</v>
      </c>
      <c r="D16" s="26" t="s">
        <v>57</v>
      </c>
      <c r="E16" s="86"/>
      <c r="F16" s="11"/>
      <c r="G16" s="34" t="s">
        <v>72</v>
      </c>
      <c r="H16" s="13" t="s">
        <v>73</v>
      </c>
      <c r="I16" s="14" t="s">
        <v>74</v>
      </c>
      <c r="J16" s="11" t="s">
        <v>240</v>
      </c>
      <c r="K16" s="11" t="s">
        <v>241</v>
      </c>
      <c r="L16" s="59"/>
      <c r="M16" s="120">
        <v>27</v>
      </c>
      <c r="N16" s="116">
        <v>37</v>
      </c>
      <c r="O16" s="64"/>
      <c r="P16" s="149"/>
      <c r="Q16" s="20" t="s">
        <v>75</v>
      </c>
      <c r="R16" s="270"/>
      <c r="S16" s="11"/>
      <c r="T16" s="11"/>
    </row>
    <row r="17" spans="1:20" ht="17.25" customHeight="1" x14ac:dyDescent="0.25">
      <c r="A17" s="35"/>
      <c r="B17" s="36"/>
      <c r="C17" s="37"/>
      <c r="D17" s="40"/>
      <c r="E17" s="76"/>
      <c r="F17" s="36"/>
      <c r="G17" s="38"/>
      <c r="H17" s="44"/>
      <c r="I17" s="45"/>
      <c r="J17" s="36"/>
      <c r="K17" s="36"/>
      <c r="L17" s="63"/>
      <c r="M17" s="123"/>
      <c r="N17" s="107"/>
      <c r="O17" s="65"/>
      <c r="P17" s="65"/>
      <c r="Q17" s="36"/>
      <c r="R17" s="150"/>
      <c r="S17" s="36"/>
      <c r="T17" s="36"/>
    </row>
    <row r="18" spans="1:20" ht="21.75" customHeight="1" x14ac:dyDescent="0.25">
      <c r="A18" s="27">
        <v>11</v>
      </c>
      <c r="B18" s="11" t="s">
        <v>76</v>
      </c>
      <c r="C18" s="31" t="s">
        <v>77</v>
      </c>
      <c r="D18" s="88"/>
      <c r="E18" s="26" t="s">
        <v>78</v>
      </c>
      <c r="F18" s="11"/>
      <c r="G18" s="34" t="s">
        <v>79</v>
      </c>
      <c r="H18" s="13" t="s">
        <v>80</v>
      </c>
      <c r="I18" s="13" t="s">
        <v>81</v>
      </c>
      <c r="J18" s="11" t="s">
        <v>247</v>
      </c>
      <c r="K18" s="11" t="s">
        <v>217</v>
      </c>
      <c r="L18" s="59"/>
      <c r="M18" s="120">
        <v>18</v>
      </c>
      <c r="N18" s="116">
        <v>28</v>
      </c>
      <c r="O18" s="18" t="s">
        <v>26</v>
      </c>
      <c r="P18" s="264">
        <f>SUM(N18:N19)</f>
        <v>114</v>
      </c>
      <c r="Q18" s="11"/>
      <c r="R18" s="139"/>
      <c r="S18" s="11"/>
      <c r="T18" s="58" t="s">
        <v>291</v>
      </c>
    </row>
    <row r="19" spans="1:20" ht="21.75" customHeight="1" x14ac:dyDescent="0.25">
      <c r="A19" s="27">
        <v>12</v>
      </c>
      <c r="B19" s="11" t="s">
        <v>85</v>
      </c>
      <c r="C19" s="31" t="s">
        <v>77</v>
      </c>
      <c r="D19" s="88"/>
      <c r="E19" s="26" t="s">
        <v>78</v>
      </c>
      <c r="F19" s="11"/>
      <c r="G19" s="34" t="s">
        <v>86</v>
      </c>
      <c r="H19" s="11" t="s">
        <v>87</v>
      </c>
      <c r="I19" s="11" t="s">
        <v>88</v>
      </c>
      <c r="J19" s="11" t="s">
        <v>254</v>
      </c>
      <c r="K19" s="11" t="s">
        <v>221</v>
      </c>
      <c r="L19" s="59"/>
      <c r="M19" s="120">
        <v>56</v>
      </c>
      <c r="N19" s="116">
        <v>86</v>
      </c>
      <c r="O19" s="64" t="s">
        <v>35</v>
      </c>
      <c r="P19" s="265"/>
      <c r="Q19" s="11"/>
      <c r="R19" s="139"/>
      <c r="S19" s="11"/>
      <c r="T19" s="58" t="s">
        <v>291</v>
      </c>
    </row>
    <row r="20" spans="1:20" ht="13.5" customHeight="1" x14ac:dyDescent="0.25">
      <c r="A20" s="35"/>
      <c r="B20" s="36"/>
      <c r="C20" s="37"/>
      <c r="D20" s="40"/>
      <c r="E20" s="76"/>
      <c r="F20" s="36"/>
      <c r="G20" s="38"/>
      <c r="H20" s="36"/>
      <c r="I20" s="36"/>
      <c r="J20" s="36"/>
      <c r="K20" s="36"/>
      <c r="L20" s="63"/>
      <c r="M20" s="123"/>
      <c r="N20" s="107"/>
      <c r="O20" s="65"/>
      <c r="P20" s="65"/>
      <c r="Q20" s="36"/>
      <c r="R20" s="150"/>
      <c r="S20" s="36"/>
      <c r="T20" s="36"/>
    </row>
    <row r="21" spans="1:20" ht="19.5" customHeight="1" x14ac:dyDescent="0.25">
      <c r="A21" s="27">
        <v>13</v>
      </c>
      <c r="B21" s="6" t="s">
        <v>89</v>
      </c>
      <c r="C21" s="31" t="s">
        <v>77</v>
      </c>
      <c r="D21" s="89"/>
      <c r="E21" s="20" t="s">
        <v>90</v>
      </c>
      <c r="F21" s="6"/>
      <c r="G21" s="34" t="s">
        <v>79</v>
      </c>
      <c r="H21" s="5" t="s">
        <v>91</v>
      </c>
      <c r="I21" s="5" t="s">
        <v>92</v>
      </c>
      <c r="J21" s="6" t="s">
        <v>249</v>
      </c>
      <c r="K21" s="6" t="s">
        <v>250</v>
      </c>
      <c r="L21" s="58"/>
      <c r="M21" s="120">
        <v>18</v>
      </c>
      <c r="N21" s="116">
        <v>28</v>
      </c>
      <c r="O21" s="18" t="s">
        <v>35</v>
      </c>
      <c r="P21" s="264">
        <f>SUM(N21:N22)</f>
        <v>114</v>
      </c>
      <c r="Q21" s="6"/>
      <c r="R21" s="138"/>
      <c r="S21" s="6"/>
      <c r="T21" s="58" t="s">
        <v>291</v>
      </c>
    </row>
    <row r="22" spans="1:20" ht="18.75" customHeight="1" x14ac:dyDescent="0.25">
      <c r="A22" s="27">
        <v>14</v>
      </c>
      <c r="B22" s="6" t="s">
        <v>94</v>
      </c>
      <c r="C22" s="31" t="s">
        <v>77</v>
      </c>
      <c r="D22" s="89"/>
      <c r="E22" s="20" t="s">
        <v>90</v>
      </c>
      <c r="F22" s="6"/>
      <c r="G22" s="34" t="s">
        <v>86</v>
      </c>
      <c r="H22" s="6" t="s">
        <v>95</v>
      </c>
      <c r="I22" s="6" t="s">
        <v>25</v>
      </c>
      <c r="J22" s="6" t="s">
        <v>257</v>
      </c>
      <c r="K22" s="6" t="s">
        <v>206</v>
      </c>
      <c r="L22" s="58"/>
      <c r="M22" s="120">
        <v>56</v>
      </c>
      <c r="N22" s="116">
        <v>86</v>
      </c>
      <c r="O22" s="18" t="s">
        <v>26</v>
      </c>
      <c r="P22" s="265"/>
      <c r="Q22" s="6"/>
      <c r="R22" s="138"/>
      <c r="S22" s="6"/>
      <c r="T22" s="58" t="s">
        <v>291</v>
      </c>
    </row>
    <row r="23" spans="1:20" ht="12.75" customHeight="1" x14ac:dyDescent="0.25">
      <c r="A23" s="35"/>
      <c r="B23" s="39"/>
      <c r="C23" s="37"/>
      <c r="D23" s="46"/>
      <c r="E23" s="76"/>
      <c r="F23" s="39"/>
      <c r="G23" s="38"/>
      <c r="H23" s="39"/>
      <c r="I23" s="39"/>
      <c r="J23" s="39"/>
      <c r="K23" s="39"/>
      <c r="L23" s="62"/>
      <c r="M23" s="123"/>
      <c r="N23" s="107"/>
      <c r="O23" s="61"/>
      <c r="P23" s="61"/>
      <c r="Q23" s="39"/>
      <c r="R23" s="148"/>
      <c r="S23" s="39"/>
      <c r="T23" s="39"/>
    </row>
    <row r="24" spans="1:20" ht="21.75" customHeight="1" x14ac:dyDescent="0.25">
      <c r="A24" s="27">
        <v>15</v>
      </c>
      <c r="B24" s="6" t="s">
        <v>96</v>
      </c>
      <c r="C24" s="31" t="s">
        <v>77</v>
      </c>
      <c r="D24" s="89"/>
      <c r="E24" s="20" t="s">
        <v>97</v>
      </c>
      <c r="F24" s="6"/>
      <c r="G24" s="34" t="s">
        <v>79</v>
      </c>
      <c r="H24" s="5" t="s">
        <v>98</v>
      </c>
      <c r="I24" s="5" t="s">
        <v>65</v>
      </c>
      <c r="J24" s="6" t="s">
        <v>212</v>
      </c>
      <c r="K24" s="6" t="s">
        <v>223</v>
      </c>
      <c r="L24" s="58"/>
      <c r="M24" s="124">
        <v>18</v>
      </c>
      <c r="N24" s="116">
        <v>28</v>
      </c>
      <c r="O24" s="18" t="s">
        <v>26</v>
      </c>
      <c r="P24" s="264">
        <f>SUM(N24:N25)</f>
        <v>114</v>
      </c>
      <c r="Q24" s="6"/>
      <c r="R24" s="138"/>
      <c r="S24" s="6"/>
      <c r="T24" s="58" t="s">
        <v>291</v>
      </c>
    </row>
    <row r="25" spans="1:20" ht="19.5" customHeight="1" x14ac:dyDescent="0.25">
      <c r="A25" s="27">
        <v>16</v>
      </c>
      <c r="B25" s="6" t="s">
        <v>101</v>
      </c>
      <c r="C25" s="31" t="s">
        <v>77</v>
      </c>
      <c r="D25" s="89"/>
      <c r="E25" s="20" t="s">
        <v>97</v>
      </c>
      <c r="F25" s="6"/>
      <c r="G25" s="34" t="s">
        <v>86</v>
      </c>
      <c r="H25" s="6" t="s">
        <v>102</v>
      </c>
      <c r="I25" s="6" t="s">
        <v>103</v>
      </c>
      <c r="J25" s="6" t="s">
        <v>255</v>
      </c>
      <c r="K25" s="6" t="s">
        <v>256</v>
      </c>
      <c r="L25" s="58"/>
      <c r="M25" s="120">
        <v>56</v>
      </c>
      <c r="N25" s="116">
        <v>86</v>
      </c>
      <c r="O25" s="18" t="s">
        <v>35</v>
      </c>
      <c r="P25" s="265"/>
      <c r="Q25" s="6"/>
      <c r="R25" s="138"/>
      <c r="S25" s="6"/>
      <c r="T25" s="58" t="s">
        <v>291</v>
      </c>
    </row>
    <row r="26" spans="1:20" ht="15" customHeight="1" x14ac:dyDescent="0.25">
      <c r="A26" s="35"/>
      <c r="B26" s="39"/>
      <c r="C26" s="37"/>
      <c r="D26" s="40"/>
      <c r="E26" s="76"/>
      <c r="F26" s="39"/>
      <c r="G26" s="38"/>
      <c r="H26" s="39"/>
      <c r="I26" s="39"/>
      <c r="J26" s="39"/>
      <c r="K26" s="39"/>
      <c r="L26" s="62"/>
      <c r="M26" s="123"/>
      <c r="N26" s="107"/>
      <c r="O26" s="61"/>
      <c r="P26" s="61"/>
      <c r="Q26" s="39"/>
      <c r="R26" s="148"/>
      <c r="S26" s="39"/>
      <c r="T26" s="39"/>
    </row>
    <row r="27" spans="1:20" ht="17.25" customHeight="1" x14ac:dyDescent="0.25">
      <c r="A27" s="27">
        <v>17</v>
      </c>
      <c r="B27" s="20" t="s">
        <v>104</v>
      </c>
      <c r="C27" s="54" t="s">
        <v>21</v>
      </c>
      <c r="D27" s="104" t="s">
        <v>57</v>
      </c>
      <c r="E27" s="86"/>
      <c r="F27" s="100" t="s">
        <v>105</v>
      </c>
      <c r="G27" s="54" t="s">
        <v>38</v>
      </c>
      <c r="H27" s="20" t="s">
        <v>106</v>
      </c>
      <c r="I27" s="20" t="s">
        <v>107</v>
      </c>
      <c r="J27" s="20" t="s">
        <v>231</v>
      </c>
      <c r="K27" s="20" t="s">
        <v>232</v>
      </c>
      <c r="L27" s="20"/>
      <c r="M27" s="108">
        <v>140</v>
      </c>
      <c r="N27" s="116">
        <v>170</v>
      </c>
      <c r="O27" s="110"/>
      <c r="P27" s="134"/>
      <c r="Q27" s="20" t="s">
        <v>41</v>
      </c>
      <c r="R27" s="272">
        <f>SUM(N27:N28)</f>
        <v>232</v>
      </c>
      <c r="S27" s="20"/>
      <c r="T27" s="58" t="s">
        <v>291</v>
      </c>
    </row>
    <row r="28" spans="1:20" ht="15" customHeight="1" x14ac:dyDescent="0.25">
      <c r="A28" s="27">
        <v>18</v>
      </c>
      <c r="B28" s="6" t="s">
        <v>110</v>
      </c>
      <c r="C28" s="30" t="s">
        <v>21</v>
      </c>
      <c r="D28" s="6" t="s">
        <v>105</v>
      </c>
      <c r="E28" s="86"/>
      <c r="F28" s="6"/>
      <c r="G28" s="33" t="s">
        <v>23</v>
      </c>
      <c r="H28" s="5" t="s">
        <v>111</v>
      </c>
      <c r="I28" s="5" t="s">
        <v>112</v>
      </c>
      <c r="J28" s="6" t="s">
        <v>212</v>
      </c>
      <c r="K28" s="6" t="s">
        <v>213</v>
      </c>
      <c r="L28" s="58"/>
      <c r="M28" s="120">
        <v>52</v>
      </c>
      <c r="N28" s="116">
        <v>62</v>
      </c>
      <c r="O28" s="18"/>
      <c r="P28" s="133"/>
      <c r="Q28" s="6" t="s">
        <v>113</v>
      </c>
      <c r="R28" s="273"/>
      <c r="S28" s="6"/>
      <c r="T28" s="58" t="s">
        <v>291</v>
      </c>
    </row>
    <row r="29" spans="1:20" ht="21.75" customHeight="1" x14ac:dyDescent="0.25">
      <c r="A29" s="27">
        <v>19</v>
      </c>
      <c r="B29" s="6" t="s">
        <v>114</v>
      </c>
      <c r="C29" s="31" t="s">
        <v>21</v>
      </c>
      <c r="D29" s="20" t="s">
        <v>105</v>
      </c>
      <c r="E29" s="86"/>
      <c r="F29" s="6"/>
      <c r="G29" s="34" t="s">
        <v>32</v>
      </c>
      <c r="H29" s="6" t="s">
        <v>115</v>
      </c>
      <c r="I29" s="6" t="s">
        <v>116</v>
      </c>
      <c r="J29" s="6" t="s">
        <v>210</v>
      </c>
      <c r="K29" s="6" t="s">
        <v>211</v>
      </c>
      <c r="L29" s="58"/>
      <c r="M29" s="120">
        <v>134</v>
      </c>
      <c r="N29" s="116">
        <v>164</v>
      </c>
      <c r="O29" s="18" t="s">
        <v>26</v>
      </c>
      <c r="P29" s="266">
        <f>SUM(N29:N31)</f>
        <v>301</v>
      </c>
      <c r="Q29" s="6"/>
      <c r="R29" s="138"/>
      <c r="S29" s="6"/>
      <c r="T29" s="58" t="s">
        <v>291</v>
      </c>
    </row>
    <row r="30" spans="1:20" ht="21.75" customHeight="1" x14ac:dyDescent="0.25">
      <c r="A30" s="27">
        <v>20</v>
      </c>
      <c r="B30" s="6" t="s">
        <v>117</v>
      </c>
      <c r="C30" s="31" t="s">
        <v>67</v>
      </c>
      <c r="D30" s="20" t="s">
        <v>105</v>
      </c>
      <c r="E30" s="86"/>
      <c r="F30" s="6"/>
      <c r="G30" s="34" t="s">
        <v>68</v>
      </c>
      <c r="H30" s="6" t="s">
        <v>118</v>
      </c>
      <c r="I30" s="6" t="s">
        <v>119</v>
      </c>
      <c r="J30" s="6" t="s">
        <v>234</v>
      </c>
      <c r="K30" s="6" t="s">
        <v>235</v>
      </c>
      <c r="L30" s="58"/>
      <c r="M30" s="120">
        <v>75</v>
      </c>
      <c r="N30" s="116">
        <v>100</v>
      </c>
      <c r="O30" s="18" t="s">
        <v>120</v>
      </c>
      <c r="P30" s="271"/>
      <c r="Q30" s="6"/>
      <c r="R30" s="138"/>
      <c r="S30" s="6"/>
      <c r="T30" s="58" t="s">
        <v>291</v>
      </c>
    </row>
    <row r="31" spans="1:20" ht="21.75" customHeight="1" x14ac:dyDescent="0.25">
      <c r="A31" s="27">
        <v>21</v>
      </c>
      <c r="B31" s="6" t="s">
        <v>121</v>
      </c>
      <c r="C31" s="31" t="s">
        <v>67</v>
      </c>
      <c r="D31" s="20" t="s">
        <v>105</v>
      </c>
      <c r="E31" s="86"/>
      <c r="F31" s="6"/>
      <c r="G31" s="34" t="s">
        <v>72</v>
      </c>
      <c r="H31" s="5" t="s">
        <v>122</v>
      </c>
      <c r="I31" s="244" t="s">
        <v>123</v>
      </c>
      <c r="J31" s="6" t="s">
        <v>214</v>
      </c>
      <c r="K31" s="6" t="s">
        <v>215</v>
      </c>
      <c r="L31" s="58"/>
      <c r="M31" s="120">
        <v>27</v>
      </c>
      <c r="N31" s="116">
        <v>37</v>
      </c>
      <c r="O31" s="18" t="s">
        <v>124</v>
      </c>
      <c r="P31" s="267"/>
      <c r="Q31" s="6"/>
      <c r="R31" s="138"/>
      <c r="S31" s="6"/>
      <c r="T31" s="6" t="s">
        <v>289</v>
      </c>
    </row>
    <row r="32" spans="1:20" ht="16.5" customHeight="1" x14ac:dyDescent="0.25">
      <c r="A32" s="35"/>
      <c r="B32" s="49"/>
      <c r="C32" s="37"/>
      <c r="D32" s="40"/>
      <c r="E32" s="76"/>
      <c r="F32" s="49"/>
      <c r="G32" s="37"/>
      <c r="H32" s="50"/>
      <c r="I32" s="51"/>
      <c r="J32" s="49"/>
      <c r="K32" s="49"/>
      <c r="L32" s="57"/>
      <c r="M32" s="125"/>
      <c r="N32" s="107"/>
      <c r="O32" s="67"/>
      <c r="P32" s="67"/>
      <c r="Q32" s="49"/>
      <c r="R32" s="153"/>
      <c r="S32" s="49"/>
      <c r="T32" s="49"/>
    </row>
    <row r="33" spans="1:20" ht="21.75" customHeight="1" x14ac:dyDescent="0.25">
      <c r="A33" s="27">
        <v>22</v>
      </c>
      <c r="B33" s="20" t="s">
        <v>126</v>
      </c>
      <c r="C33" s="54" t="s">
        <v>21</v>
      </c>
      <c r="D33" s="20" t="s">
        <v>127</v>
      </c>
      <c r="E33" s="86"/>
      <c r="F33" s="20"/>
      <c r="G33" s="54" t="s">
        <v>23</v>
      </c>
      <c r="H33" s="55" t="s">
        <v>128</v>
      </c>
      <c r="I33" s="55" t="s">
        <v>129</v>
      </c>
      <c r="J33" s="20" t="s">
        <v>216</v>
      </c>
      <c r="K33" s="20" t="s">
        <v>217</v>
      </c>
      <c r="L33" s="20"/>
      <c r="M33" s="120">
        <v>52</v>
      </c>
      <c r="N33" s="116">
        <v>62</v>
      </c>
      <c r="O33" s="110"/>
      <c r="P33" s="134"/>
      <c r="Q33" s="20" t="s">
        <v>113</v>
      </c>
      <c r="R33" s="275">
        <f>SUM(N33:N34)</f>
        <v>226</v>
      </c>
      <c r="S33" s="20"/>
      <c r="T33" s="58" t="s">
        <v>291</v>
      </c>
    </row>
    <row r="34" spans="1:20" ht="21.75" customHeight="1" x14ac:dyDescent="0.25">
      <c r="A34" s="27">
        <v>23</v>
      </c>
      <c r="B34" s="20" t="s">
        <v>133</v>
      </c>
      <c r="C34" s="54" t="s">
        <v>21</v>
      </c>
      <c r="D34" s="20" t="s">
        <v>127</v>
      </c>
      <c r="E34" s="86"/>
      <c r="F34" s="20"/>
      <c r="G34" s="54" t="s">
        <v>32</v>
      </c>
      <c r="H34" s="20" t="s">
        <v>134</v>
      </c>
      <c r="I34" s="20" t="s">
        <v>135</v>
      </c>
      <c r="J34" s="20" t="s">
        <v>225</v>
      </c>
      <c r="K34" s="20" t="s">
        <v>226</v>
      </c>
      <c r="L34" s="20"/>
      <c r="M34" s="120">
        <v>134</v>
      </c>
      <c r="N34" s="116">
        <v>164</v>
      </c>
      <c r="O34" s="110"/>
      <c r="P34" s="135"/>
      <c r="Q34" s="20" t="s">
        <v>113</v>
      </c>
      <c r="R34" s="276"/>
      <c r="S34" s="20"/>
      <c r="T34" s="20"/>
    </row>
    <row r="35" spans="1:20" ht="21.75" customHeight="1" x14ac:dyDescent="0.25">
      <c r="A35" s="27">
        <v>24</v>
      </c>
      <c r="B35" s="20" t="s">
        <v>136</v>
      </c>
      <c r="C35" s="54" t="s">
        <v>67</v>
      </c>
      <c r="D35" s="20" t="s">
        <v>127</v>
      </c>
      <c r="E35" s="86"/>
      <c r="F35" s="20"/>
      <c r="G35" s="54" t="s">
        <v>68</v>
      </c>
      <c r="H35" s="20" t="s">
        <v>137</v>
      </c>
      <c r="I35" s="20" t="s">
        <v>138</v>
      </c>
      <c r="J35" s="20" t="s">
        <v>212</v>
      </c>
      <c r="K35" s="20" t="s">
        <v>236</v>
      </c>
      <c r="L35" s="20"/>
      <c r="M35" s="120">
        <v>75</v>
      </c>
      <c r="N35" s="116">
        <v>100</v>
      </c>
      <c r="O35" s="163" t="s">
        <v>35</v>
      </c>
      <c r="P35" s="116">
        <f>SUM(M35)</f>
        <v>75</v>
      </c>
      <c r="Q35" s="110"/>
      <c r="R35" s="142"/>
      <c r="S35" s="20"/>
      <c r="T35" s="20"/>
    </row>
    <row r="36" spans="1:20" ht="21.75" customHeight="1" x14ac:dyDescent="0.25">
      <c r="A36" s="27">
        <v>25</v>
      </c>
      <c r="B36" s="20" t="s">
        <v>139</v>
      </c>
      <c r="C36" s="54" t="s">
        <v>67</v>
      </c>
      <c r="D36" s="20" t="s">
        <v>127</v>
      </c>
      <c r="E36" s="86"/>
      <c r="F36" s="20"/>
      <c r="G36" s="34" t="s">
        <v>72</v>
      </c>
      <c r="H36" s="55" t="s">
        <v>140</v>
      </c>
      <c r="I36" s="243" t="s">
        <v>290</v>
      </c>
      <c r="J36" s="20" t="s">
        <v>246</v>
      </c>
      <c r="K36" s="20" t="s">
        <v>241</v>
      </c>
      <c r="L36" s="20"/>
      <c r="M36" s="120">
        <v>27</v>
      </c>
      <c r="N36" s="116">
        <v>37</v>
      </c>
      <c r="O36" s="163" t="s">
        <v>60</v>
      </c>
      <c r="P36" s="116">
        <f>SUM(N36)</f>
        <v>37</v>
      </c>
      <c r="Q36" s="110"/>
      <c r="R36" s="142"/>
      <c r="S36" s="20"/>
      <c r="T36" s="6"/>
    </row>
    <row r="37" spans="1:20" ht="17.25" customHeight="1" x14ac:dyDescent="0.25">
      <c r="A37" s="35"/>
      <c r="B37" s="68"/>
      <c r="C37" s="37"/>
      <c r="D37" s="40"/>
      <c r="E37" s="76"/>
      <c r="F37" s="68"/>
      <c r="G37" s="38"/>
      <c r="H37" s="71"/>
      <c r="I37" s="72"/>
      <c r="J37" s="68"/>
      <c r="K37" s="68"/>
      <c r="L37" s="69"/>
      <c r="M37" s="126"/>
      <c r="N37" s="107"/>
      <c r="O37" s="65"/>
      <c r="P37" s="111"/>
      <c r="Q37" s="68"/>
      <c r="R37" s="155"/>
      <c r="S37" s="68"/>
      <c r="T37" s="68"/>
    </row>
    <row r="38" spans="1:20" ht="21.75" customHeight="1" x14ac:dyDescent="0.25">
      <c r="A38" s="27">
        <v>26</v>
      </c>
      <c r="B38" s="6" t="s">
        <v>142</v>
      </c>
      <c r="C38" s="31" t="s">
        <v>77</v>
      </c>
      <c r="D38" s="89"/>
      <c r="E38" s="20" t="s">
        <v>143</v>
      </c>
      <c r="F38" s="6"/>
      <c r="G38" s="34" t="s">
        <v>79</v>
      </c>
      <c r="H38" s="5" t="s">
        <v>144</v>
      </c>
      <c r="I38" s="5" t="s">
        <v>145</v>
      </c>
      <c r="J38" s="6" t="s">
        <v>252</v>
      </c>
      <c r="K38" s="6" t="s">
        <v>221</v>
      </c>
      <c r="L38" s="58"/>
      <c r="M38" s="120">
        <v>18</v>
      </c>
      <c r="N38" s="116">
        <v>28</v>
      </c>
      <c r="O38" s="18" t="s">
        <v>35</v>
      </c>
      <c r="P38" s="266">
        <f>SUM(N38:N39)</f>
        <v>114</v>
      </c>
      <c r="Q38" s="6"/>
      <c r="R38" s="138"/>
      <c r="S38" s="6"/>
      <c r="T38" s="58" t="s">
        <v>291</v>
      </c>
    </row>
    <row r="39" spans="1:20" ht="21.75" customHeight="1" x14ac:dyDescent="0.25">
      <c r="A39" s="27">
        <v>27</v>
      </c>
      <c r="B39" s="6" t="s">
        <v>146</v>
      </c>
      <c r="C39" s="31" t="s">
        <v>77</v>
      </c>
      <c r="D39" s="89"/>
      <c r="E39" s="20" t="s">
        <v>143</v>
      </c>
      <c r="F39" s="6"/>
      <c r="G39" s="34" t="s">
        <v>86</v>
      </c>
      <c r="H39" s="6" t="s">
        <v>147</v>
      </c>
      <c r="I39" s="6" t="s">
        <v>148</v>
      </c>
      <c r="J39" s="6" t="s">
        <v>249</v>
      </c>
      <c r="K39" s="6" t="s">
        <v>258</v>
      </c>
      <c r="L39" s="58"/>
      <c r="M39" s="120">
        <v>56</v>
      </c>
      <c r="N39" s="116">
        <v>86</v>
      </c>
      <c r="O39" s="18" t="s">
        <v>35</v>
      </c>
      <c r="P39" s="267"/>
      <c r="Q39" s="6"/>
      <c r="R39" s="138"/>
      <c r="S39" s="6"/>
      <c r="T39" s="58"/>
    </row>
    <row r="40" spans="1:20" ht="17.25" customHeight="1" x14ac:dyDescent="0.25">
      <c r="A40" s="35"/>
      <c r="B40" s="49"/>
      <c r="C40" s="37"/>
      <c r="D40" s="40"/>
      <c r="E40" s="76"/>
      <c r="F40" s="49"/>
      <c r="G40" s="38"/>
      <c r="H40" s="49"/>
      <c r="I40" s="49"/>
      <c r="J40" s="49"/>
      <c r="K40" s="49"/>
      <c r="L40" s="57"/>
      <c r="M40" s="123"/>
      <c r="N40" s="107"/>
      <c r="O40" s="61"/>
      <c r="P40" s="67"/>
      <c r="Q40" s="49"/>
      <c r="R40" s="153"/>
      <c r="S40" s="49"/>
      <c r="T40" s="49"/>
    </row>
    <row r="41" spans="1:20" ht="21.75" customHeight="1" x14ac:dyDescent="0.25">
      <c r="A41" s="27">
        <v>28</v>
      </c>
      <c r="B41" s="6" t="s">
        <v>149</v>
      </c>
      <c r="C41" s="31" t="s">
        <v>77</v>
      </c>
      <c r="D41" s="89"/>
      <c r="E41" s="20" t="s">
        <v>150</v>
      </c>
      <c r="F41" s="6"/>
      <c r="G41" s="34" t="s">
        <v>79</v>
      </c>
      <c r="H41" s="5" t="s">
        <v>151</v>
      </c>
      <c r="I41" s="5" t="s">
        <v>152</v>
      </c>
      <c r="J41" s="6" t="s">
        <v>216</v>
      </c>
      <c r="K41" s="6" t="s">
        <v>251</v>
      </c>
      <c r="L41" s="58"/>
      <c r="M41" s="120">
        <v>18</v>
      </c>
      <c r="N41" s="116">
        <v>28</v>
      </c>
      <c r="O41" s="18" t="s">
        <v>26</v>
      </c>
      <c r="P41" s="266">
        <f>SUM(N41:N42)</f>
        <v>114</v>
      </c>
      <c r="Q41" s="6"/>
      <c r="R41" s="138"/>
      <c r="S41" s="6"/>
      <c r="T41" s="58" t="s">
        <v>291</v>
      </c>
    </row>
    <row r="42" spans="1:20" ht="21.75" customHeight="1" x14ac:dyDescent="0.25">
      <c r="A42" s="27">
        <v>29</v>
      </c>
      <c r="B42" s="6" t="s">
        <v>153</v>
      </c>
      <c r="C42" s="31" t="s">
        <v>77</v>
      </c>
      <c r="D42" s="89"/>
      <c r="E42" s="20" t="s">
        <v>150</v>
      </c>
      <c r="F42" s="6"/>
      <c r="G42" s="34" t="s">
        <v>86</v>
      </c>
      <c r="H42" s="6" t="s">
        <v>154</v>
      </c>
      <c r="I42" s="6" t="s">
        <v>155</v>
      </c>
      <c r="J42" s="6" t="s">
        <v>219</v>
      </c>
      <c r="K42" s="6" t="s">
        <v>251</v>
      </c>
      <c r="L42" s="58"/>
      <c r="M42" s="120">
        <v>56</v>
      </c>
      <c r="N42" s="116">
        <v>86</v>
      </c>
      <c r="O42" s="18" t="s">
        <v>26</v>
      </c>
      <c r="P42" s="267"/>
      <c r="Q42" s="6"/>
      <c r="R42" s="138"/>
      <c r="S42" s="6"/>
      <c r="T42" s="58"/>
    </row>
    <row r="43" spans="1:20" ht="15.75" customHeight="1" x14ac:dyDescent="0.25">
      <c r="A43" s="35"/>
      <c r="B43" s="49"/>
      <c r="C43" s="37"/>
      <c r="D43" s="40"/>
      <c r="E43" s="76"/>
      <c r="F43" s="49"/>
      <c r="G43" s="37"/>
      <c r="H43" s="49"/>
      <c r="I43" s="49"/>
      <c r="J43" s="49"/>
      <c r="K43" s="49"/>
      <c r="L43" s="57"/>
      <c r="M43" s="127"/>
      <c r="N43" s="107"/>
      <c r="O43" s="67"/>
      <c r="P43" s="67"/>
      <c r="Q43" s="49"/>
      <c r="R43" s="153"/>
      <c r="S43" s="49"/>
      <c r="T43" s="49"/>
    </row>
    <row r="44" spans="1:20" ht="21.75" customHeight="1" x14ac:dyDescent="0.25">
      <c r="A44" s="27">
        <v>30</v>
      </c>
      <c r="B44" s="20" t="s">
        <v>156</v>
      </c>
      <c r="C44" s="54" t="s">
        <v>77</v>
      </c>
      <c r="D44" s="89"/>
      <c r="E44" s="23" t="s">
        <v>157</v>
      </c>
      <c r="F44" s="20"/>
      <c r="G44" s="54" t="s">
        <v>79</v>
      </c>
      <c r="H44" s="55" t="s">
        <v>158</v>
      </c>
      <c r="I44" s="55" t="s">
        <v>159</v>
      </c>
      <c r="J44" s="20" t="s">
        <v>231</v>
      </c>
      <c r="K44" s="20" t="s">
        <v>232</v>
      </c>
      <c r="L44" s="20"/>
      <c r="M44" s="120">
        <v>18</v>
      </c>
      <c r="N44" s="116">
        <v>28</v>
      </c>
      <c r="O44" s="110" t="s">
        <v>35</v>
      </c>
      <c r="P44" s="275">
        <f>SUM(N44:N45)</f>
        <v>114</v>
      </c>
      <c r="Q44" s="20"/>
      <c r="R44" s="142"/>
      <c r="S44" s="20"/>
      <c r="T44" s="58" t="s">
        <v>291</v>
      </c>
    </row>
    <row r="45" spans="1:20" ht="21.75" customHeight="1" x14ac:dyDescent="0.25">
      <c r="A45" s="27">
        <v>31</v>
      </c>
      <c r="B45" s="20" t="s">
        <v>160</v>
      </c>
      <c r="C45" s="54" t="s">
        <v>77</v>
      </c>
      <c r="D45" s="89"/>
      <c r="E45" s="23" t="s">
        <v>157</v>
      </c>
      <c r="F45" s="20"/>
      <c r="G45" s="54" t="s">
        <v>86</v>
      </c>
      <c r="H45" s="20" t="s">
        <v>161</v>
      </c>
      <c r="I45" s="20" t="s">
        <v>162</v>
      </c>
      <c r="J45" s="20" t="s">
        <v>259</v>
      </c>
      <c r="K45" s="20" t="s">
        <v>260</v>
      </c>
      <c r="L45" s="20"/>
      <c r="M45" s="120">
        <v>56</v>
      </c>
      <c r="N45" s="116">
        <v>86</v>
      </c>
      <c r="O45" s="110" t="s">
        <v>26</v>
      </c>
      <c r="P45" s="276"/>
      <c r="Q45" s="20"/>
      <c r="R45" s="142"/>
      <c r="S45" s="20"/>
      <c r="T45" s="58"/>
    </row>
    <row r="46" spans="1:20" ht="15.75" customHeight="1" x14ac:dyDescent="0.25">
      <c r="A46" s="35"/>
      <c r="B46" s="68"/>
      <c r="C46" s="37"/>
      <c r="D46" s="40"/>
      <c r="E46" s="76"/>
      <c r="F46" s="68"/>
      <c r="G46" s="38"/>
      <c r="H46" s="68"/>
      <c r="I46" s="68"/>
      <c r="J46" s="68"/>
      <c r="K46" s="68"/>
      <c r="L46" s="69"/>
      <c r="M46" s="126"/>
      <c r="N46" s="107"/>
      <c r="O46" s="65"/>
      <c r="P46" s="111"/>
      <c r="Q46" s="68"/>
      <c r="R46" s="155"/>
      <c r="S46" s="68"/>
      <c r="T46" s="68"/>
    </row>
    <row r="47" spans="1:20" ht="21.75" customHeight="1" x14ac:dyDescent="0.25">
      <c r="A47" s="27">
        <v>32</v>
      </c>
      <c r="B47" s="6" t="s">
        <v>163</v>
      </c>
      <c r="C47" s="30" t="s">
        <v>21</v>
      </c>
      <c r="D47" s="17" t="s">
        <v>164</v>
      </c>
      <c r="E47" s="86"/>
      <c r="F47" s="6"/>
      <c r="G47" s="33" t="s">
        <v>23</v>
      </c>
      <c r="H47" s="5" t="s">
        <v>165</v>
      </c>
      <c r="I47" s="160" t="s">
        <v>166</v>
      </c>
      <c r="J47" s="6" t="s">
        <v>214</v>
      </c>
      <c r="K47" s="6" t="s">
        <v>215</v>
      </c>
      <c r="L47" s="58"/>
      <c r="M47" s="120">
        <v>52</v>
      </c>
      <c r="N47" s="116">
        <v>62</v>
      </c>
      <c r="O47" s="18" t="s">
        <v>35</v>
      </c>
      <c r="P47" s="156">
        <f>SUM(N47)</f>
        <v>62</v>
      </c>
      <c r="Q47" s="6"/>
      <c r="R47" s="138"/>
      <c r="S47" s="6"/>
      <c r="T47" s="6" t="s">
        <v>167</v>
      </c>
    </row>
    <row r="48" spans="1:20" ht="21.75" customHeight="1" x14ac:dyDescent="0.25">
      <c r="A48" s="27">
        <v>33</v>
      </c>
      <c r="B48" s="6" t="s">
        <v>170</v>
      </c>
      <c r="C48" s="31" t="s">
        <v>67</v>
      </c>
      <c r="D48" s="26" t="s">
        <v>164</v>
      </c>
      <c r="E48" s="86"/>
      <c r="F48" s="11"/>
      <c r="G48" s="34" t="s">
        <v>72</v>
      </c>
      <c r="H48" s="13" t="s">
        <v>171</v>
      </c>
      <c r="I48" s="161" t="s">
        <v>172</v>
      </c>
      <c r="J48" s="11" t="s">
        <v>215</v>
      </c>
      <c r="K48" s="11" t="s">
        <v>242</v>
      </c>
      <c r="L48" s="59"/>
      <c r="M48" s="124">
        <v>27</v>
      </c>
      <c r="N48" s="116">
        <v>37</v>
      </c>
      <c r="O48" s="64"/>
      <c r="P48" s="132"/>
      <c r="Q48" s="11" t="s">
        <v>173</v>
      </c>
      <c r="R48" s="140">
        <f>SUM(N48)</f>
        <v>37</v>
      </c>
      <c r="S48" s="11"/>
      <c r="T48" s="6" t="s">
        <v>167</v>
      </c>
    </row>
    <row r="49" spans="1:20" ht="21.75" customHeight="1" x14ac:dyDescent="0.25">
      <c r="A49" s="27">
        <v>34</v>
      </c>
      <c r="B49" s="6" t="s">
        <v>174</v>
      </c>
      <c r="C49" s="31" t="s">
        <v>21</v>
      </c>
      <c r="D49" s="24" t="s">
        <v>164</v>
      </c>
      <c r="E49" s="86"/>
      <c r="F49" s="47"/>
      <c r="G49" s="31" t="s">
        <v>32</v>
      </c>
      <c r="H49" s="47" t="s">
        <v>175</v>
      </c>
      <c r="I49" s="47" t="s">
        <v>176</v>
      </c>
      <c r="J49" s="47" t="s">
        <v>224</v>
      </c>
      <c r="K49" s="47" t="s">
        <v>208</v>
      </c>
      <c r="L49" s="60"/>
      <c r="M49" s="128">
        <v>134</v>
      </c>
      <c r="N49" s="116">
        <v>164</v>
      </c>
      <c r="O49" s="48" t="s">
        <v>26</v>
      </c>
      <c r="P49" s="272">
        <f>SUM(N49:N50)</f>
        <v>264</v>
      </c>
      <c r="Q49" s="47"/>
      <c r="R49" s="141"/>
      <c r="S49" s="47"/>
      <c r="T49" s="58" t="s">
        <v>291</v>
      </c>
    </row>
    <row r="50" spans="1:20" ht="21.75" customHeight="1" x14ac:dyDescent="0.25">
      <c r="A50" s="27">
        <v>35</v>
      </c>
      <c r="B50" s="6" t="s">
        <v>178</v>
      </c>
      <c r="C50" s="54" t="s">
        <v>67</v>
      </c>
      <c r="D50" s="20" t="s">
        <v>164</v>
      </c>
      <c r="E50" s="86"/>
      <c r="F50" s="20"/>
      <c r="G50" s="54" t="s">
        <v>68</v>
      </c>
      <c r="H50" s="20" t="s">
        <v>179</v>
      </c>
      <c r="I50" s="20" t="s">
        <v>180</v>
      </c>
      <c r="J50" s="20" t="s">
        <v>237</v>
      </c>
      <c r="K50" s="20" t="s">
        <v>238</v>
      </c>
      <c r="L50" s="20"/>
      <c r="M50" s="120">
        <v>75</v>
      </c>
      <c r="N50" s="116">
        <v>100</v>
      </c>
      <c r="O50" s="110" t="s">
        <v>124</v>
      </c>
      <c r="P50" s="274"/>
      <c r="Q50" s="20"/>
      <c r="R50" s="142"/>
      <c r="S50" s="20"/>
      <c r="T50" s="58" t="s">
        <v>291</v>
      </c>
    </row>
    <row r="51" spans="1:20" ht="13.5" customHeight="1" x14ac:dyDescent="0.25">
      <c r="A51" s="35"/>
      <c r="B51" s="40"/>
      <c r="C51" s="40"/>
      <c r="D51" s="40"/>
      <c r="E51" s="86"/>
      <c r="F51" s="40"/>
      <c r="G51" s="40"/>
      <c r="H51" s="40"/>
      <c r="I51" s="40"/>
      <c r="J51" s="40"/>
      <c r="K51" s="40"/>
      <c r="L51" s="40"/>
      <c r="M51" s="129"/>
      <c r="N51" s="109"/>
      <c r="O51" s="40"/>
      <c r="P51" s="40"/>
      <c r="Q51" s="40"/>
      <c r="R51" s="157"/>
      <c r="S51" s="40"/>
      <c r="T51" s="40"/>
    </row>
    <row r="52" spans="1:20" ht="19.5" customHeight="1" x14ac:dyDescent="0.25">
      <c r="A52" s="27">
        <v>36</v>
      </c>
      <c r="B52" s="11" t="s">
        <v>181</v>
      </c>
      <c r="C52" s="31" t="s">
        <v>67</v>
      </c>
      <c r="D52" s="32" t="s">
        <v>182</v>
      </c>
      <c r="E52" s="86"/>
      <c r="F52" s="11"/>
      <c r="G52" s="34" t="s">
        <v>68</v>
      </c>
      <c r="H52" s="11" t="s">
        <v>183</v>
      </c>
      <c r="I52" s="159" t="s">
        <v>184</v>
      </c>
      <c r="J52" s="11" t="s">
        <v>217</v>
      </c>
      <c r="K52" s="11" t="s">
        <v>231</v>
      </c>
      <c r="L52" s="59"/>
      <c r="M52" s="120">
        <v>75</v>
      </c>
      <c r="N52" s="116">
        <v>110</v>
      </c>
      <c r="O52" s="18" t="s">
        <v>35</v>
      </c>
      <c r="P52" s="117">
        <f>SUM(N52)</f>
        <v>110</v>
      </c>
      <c r="Q52" s="11" t="s">
        <v>173</v>
      </c>
      <c r="R52" s="140">
        <f>SUM(N52:N53)</f>
        <v>147</v>
      </c>
      <c r="S52" s="11"/>
      <c r="T52" s="11" t="s">
        <v>167</v>
      </c>
    </row>
    <row r="53" spans="1:20" ht="19.5" customHeight="1" x14ac:dyDescent="0.25">
      <c r="A53" s="52">
        <v>37</v>
      </c>
      <c r="B53" s="11" t="s">
        <v>187</v>
      </c>
      <c r="C53" s="54" t="s">
        <v>67</v>
      </c>
      <c r="D53" s="53" t="s">
        <v>182</v>
      </c>
      <c r="E53" s="87"/>
      <c r="F53" s="53"/>
      <c r="G53" s="34" t="s">
        <v>72</v>
      </c>
      <c r="H53" s="55" t="s">
        <v>188</v>
      </c>
      <c r="I53" s="81" t="s">
        <v>189</v>
      </c>
      <c r="J53" s="20" t="s">
        <v>245</v>
      </c>
      <c r="K53" s="20" t="s">
        <v>211</v>
      </c>
      <c r="L53" s="20"/>
      <c r="M53" s="120">
        <v>27</v>
      </c>
      <c r="N53" s="116">
        <v>37</v>
      </c>
      <c r="O53" s="110" t="s">
        <v>35</v>
      </c>
      <c r="P53" s="164">
        <f>SUM(N53)</f>
        <v>37</v>
      </c>
      <c r="Q53" s="20"/>
      <c r="R53" s="142"/>
      <c r="S53" s="20"/>
      <c r="T53" s="20" t="s">
        <v>190</v>
      </c>
    </row>
    <row r="54" spans="1:20" ht="12" customHeight="1" x14ac:dyDescent="0.25">
      <c r="A54" s="77"/>
      <c r="B54" s="78"/>
      <c r="C54" s="70"/>
      <c r="D54" s="78"/>
      <c r="E54" s="87"/>
      <c r="F54" s="78"/>
      <c r="G54" s="37"/>
      <c r="H54" s="79"/>
      <c r="I54" s="80"/>
      <c r="J54" s="78"/>
      <c r="K54" s="78"/>
      <c r="L54" s="78"/>
      <c r="M54" s="125"/>
      <c r="N54" s="107"/>
      <c r="O54" s="112"/>
      <c r="P54" s="112"/>
      <c r="Q54" s="78"/>
      <c r="R54" s="158"/>
      <c r="S54" s="78"/>
      <c r="T54" s="78"/>
    </row>
    <row r="55" spans="1:20" ht="19.5" customHeight="1" x14ac:dyDescent="0.25">
      <c r="A55" s="212">
        <v>38</v>
      </c>
      <c r="B55" s="53" t="s">
        <v>191</v>
      </c>
      <c r="C55" s="66" t="s">
        <v>67</v>
      </c>
      <c r="D55" s="24" t="s">
        <v>192</v>
      </c>
      <c r="E55" s="213"/>
      <c r="F55" s="53"/>
      <c r="G55" s="66" t="s">
        <v>72</v>
      </c>
      <c r="H55" s="214" t="s">
        <v>193</v>
      </c>
      <c r="I55" s="215" t="s">
        <v>244</v>
      </c>
      <c r="J55" s="53" t="s">
        <v>216</v>
      </c>
      <c r="K55" s="53" t="s">
        <v>214</v>
      </c>
      <c r="L55" s="53"/>
      <c r="M55" s="128">
        <v>27</v>
      </c>
      <c r="N55" s="205">
        <v>37</v>
      </c>
      <c r="O55" s="216" t="s">
        <v>124</v>
      </c>
      <c r="P55" s="217">
        <f>SUM(N55)</f>
        <v>37</v>
      </c>
      <c r="Q55" s="53"/>
      <c r="R55" s="218"/>
      <c r="S55" s="53"/>
      <c r="T55" s="53" t="s">
        <v>167</v>
      </c>
    </row>
    <row r="56" spans="1:20" ht="19.5" customHeight="1" x14ac:dyDescent="0.25">
      <c r="A56" s="226">
        <v>39</v>
      </c>
      <c r="B56" s="227" t="s">
        <v>197</v>
      </c>
      <c r="C56" s="231">
        <v>46201</v>
      </c>
      <c r="D56" s="227" t="s">
        <v>198</v>
      </c>
      <c r="E56" s="232"/>
      <c r="F56" s="227"/>
      <c r="G56" s="229" t="s">
        <v>38</v>
      </c>
      <c r="H56" s="227" t="s">
        <v>199</v>
      </c>
      <c r="I56" s="227" t="s">
        <v>200</v>
      </c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</row>
    <row r="57" spans="1:20" ht="19.5" customHeight="1" x14ac:dyDescent="0.25"/>
    <row r="58" spans="1:20" ht="19.5" customHeight="1" x14ac:dyDescent="0.25"/>
    <row r="59" spans="1:20" ht="19.5" customHeight="1" x14ac:dyDescent="0.25"/>
    <row r="60" spans="1:20" ht="19.5" customHeight="1" x14ac:dyDescent="0.25"/>
    <row r="61" spans="1:20" ht="21.75" customHeight="1" x14ac:dyDescent="0.25"/>
    <row r="62" spans="1:20" ht="21.75" customHeight="1" x14ac:dyDescent="0.25"/>
    <row r="63" spans="1:20" ht="21.75" customHeight="1" x14ac:dyDescent="0.25"/>
    <row r="64" spans="1:20" ht="21.75" customHeight="1" x14ac:dyDescent="0.25"/>
    <row r="65" ht="21.75" customHeight="1" x14ac:dyDescent="0.25"/>
    <row r="66" ht="21.75" customHeight="1" x14ac:dyDescent="0.25"/>
    <row r="67" ht="21.75" customHeight="1" x14ac:dyDescent="0.25"/>
    <row r="68" ht="21.75" customHeight="1" x14ac:dyDescent="0.25"/>
    <row r="69" ht="21.75" customHeight="1" x14ac:dyDescent="0.25"/>
    <row r="70" ht="21.75" customHeight="1" x14ac:dyDescent="0.25"/>
    <row r="71" ht="19.5" customHeight="1" x14ac:dyDescent="0.25"/>
    <row r="72" ht="19.5" customHeight="1" x14ac:dyDescent="0.25"/>
    <row r="73" ht="19.5" customHeight="1" x14ac:dyDescent="0.25"/>
  </sheetData>
  <mergeCells count="16">
    <mergeCell ref="P49:P50"/>
    <mergeCell ref="R33:R34"/>
    <mergeCell ref="P38:P39"/>
    <mergeCell ref="P41:P42"/>
    <mergeCell ref="P44:P45"/>
    <mergeCell ref="R15:R16"/>
    <mergeCell ref="P18:P19"/>
    <mergeCell ref="P21:P22"/>
    <mergeCell ref="P24:P25"/>
    <mergeCell ref="P29:P31"/>
    <mergeCell ref="R27:R28"/>
    <mergeCell ref="A1:M1"/>
    <mergeCell ref="A2:M2"/>
    <mergeCell ref="P5:P6"/>
    <mergeCell ref="R9:R10"/>
    <mergeCell ref="P13:P14"/>
  </mergeCells>
  <pageMargins left="0.7" right="0.7" top="0.75" bottom="0.75" header="0.3" footer="0.3"/>
  <pageSetup paperSize="9" scale="62"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51DF-417B-4E20-8B8C-6C3EF69648FA}">
  <sheetPr>
    <pageSetUpPr fitToPage="1"/>
  </sheetPr>
  <dimension ref="A1:P43"/>
  <sheetViews>
    <sheetView zoomScale="80" zoomScaleNormal="80" workbookViewId="0">
      <selection activeCell="H9" sqref="H9"/>
    </sheetView>
  </sheetViews>
  <sheetFormatPr defaultRowHeight="15" x14ac:dyDescent="0.25"/>
  <cols>
    <col min="1" max="1" width="5.7109375" style="27" customWidth="1"/>
    <col min="3" max="3" width="10.7109375" hidden="1" customWidth="1"/>
    <col min="4" max="4" width="10.7109375" bestFit="1" customWidth="1"/>
    <col min="6" max="6" width="16.140625" bestFit="1" customWidth="1"/>
    <col min="7" max="7" width="12.7109375" customWidth="1"/>
    <col min="8" max="8" width="40" bestFit="1" customWidth="1"/>
    <col min="9" max="9" width="38.85546875" bestFit="1" customWidth="1"/>
    <col min="10" max="10" width="25.42578125" customWidth="1"/>
    <col min="13" max="13" width="13" bestFit="1" customWidth="1"/>
    <col min="14" max="15" width="11.85546875" bestFit="1" customWidth="1"/>
    <col min="16384" max="16384" width="9.140625" bestFit="1" customWidth="1"/>
  </cols>
  <sheetData>
    <row r="1" spans="1:16" x14ac:dyDescent="0.25">
      <c r="A1" s="262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</row>
    <row r="2" spans="1:16" x14ac:dyDescent="0.25">
      <c r="A2" s="263" t="s">
        <v>1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</row>
    <row r="4" spans="1:16" ht="38.25" x14ac:dyDescent="0.25">
      <c r="A4" s="29" t="s">
        <v>2</v>
      </c>
      <c r="B4" s="28" t="s">
        <v>3</v>
      </c>
      <c r="C4" s="1" t="s">
        <v>4</v>
      </c>
      <c r="D4" s="1" t="s">
        <v>5</v>
      </c>
      <c r="E4" s="1" t="s">
        <v>7</v>
      </c>
      <c r="F4" s="1" t="s">
        <v>8</v>
      </c>
      <c r="G4" s="3" t="s">
        <v>9</v>
      </c>
      <c r="H4" s="1" t="s">
        <v>10</v>
      </c>
      <c r="I4" s="1" t="s">
        <v>201</v>
      </c>
      <c r="J4" s="1" t="s">
        <v>202</v>
      </c>
      <c r="K4" s="1" t="s">
        <v>203</v>
      </c>
      <c r="L4" s="1" t="s">
        <v>204</v>
      </c>
      <c r="M4" s="2" t="s">
        <v>12</v>
      </c>
      <c r="N4" s="2" t="s">
        <v>13</v>
      </c>
      <c r="O4" s="2" t="s">
        <v>14</v>
      </c>
      <c r="P4" s="2" t="s">
        <v>15</v>
      </c>
    </row>
    <row r="5" spans="1:16" ht="21.75" customHeight="1" x14ac:dyDescent="0.25">
      <c r="A5" s="27">
        <v>1</v>
      </c>
      <c r="B5" s="6"/>
      <c r="C5" s="279" t="s">
        <v>21</v>
      </c>
      <c r="D5" s="6" t="s">
        <v>22</v>
      </c>
      <c r="E5" s="6"/>
      <c r="F5" s="283" t="s">
        <v>23</v>
      </c>
      <c r="G5" s="5" t="s">
        <v>24</v>
      </c>
      <c r="H5" s="5" t="s">
        <v>25</v>
      </c>
      <c r="I5" s="6" t="s">
        <v>205</v>
      </c>
      <c r="J5" s="6" t="s">
        <v>206</v>
      </c>
      <c r="K5" s="6"/>
      <c r="L5" s="279">
        <v>52</v>
      </c>
      <c r="M5" s="6" t="s">
        <v>26</v>
      </c>
      <c r="N5" s="6"/>
      <c r="O5" s="6"/>
      <c r="P5" s="6"/>
    </row>
    <row r="6" spans="1:16" ht="21.75" customHeight="1" x14ac:dyDescent="0.25">
      <c r="A6" s="27">
        <v>2</v>
      </c>
      <c r="B6" s="6"/>
      <c r="C6" s="277"/>
      <c r="D6" s="6" t="s">
        <v>44</v>
      </c>
      <c r="E6" s="6"/>
      <c r="F6" s="283"/>
      <c r="G6" s="5" t="s">
        <v>45</v>
      </c>
      <c r="H6" s="5" t="s">
        <v>46</v>
      </c>
      <c r="I6" s="6" t="s">
        <v>207</v>
      </c>
      <c r="J6" s="6" t="s">
        <v>208</v>
      </c>
      <c r="K6" s="6"/>
      <c r="L6" s="277"/>
      <c r="M6" s="6"/>
      <c r="N6" s="6" t="s">
        <v>209</v>
      </c>
      <c r="O6" s="6"/>
      <c r="P6" s="6"/>
    </row>
    <row r="7" spans="1:16" ht="21.75" customHeight="1" x14ac:dyDescent="0.25">
      <c r="A7" s="27">
        <v>3</v>
      </c>
      <c r="B7" s="6"/>
      <c r="C7" s="277"/>
      <c r="D7" s="6" t="s">
        <v>57</v>
      </c>
      <c r="E7" s="6"/>
      <c r="F7" s="283"/>
      <c r="G7" s="5" t="s">
        <v>58</v>
      </c>
      <c r="H7" s="5" t="s">
        <v>59</v>
      </c>
      <c r="I7" s="6" t="s">
        <v>210</v>
      </c>
      <c r="J7" s="6" t="s">
        <v>211</v>
      </c>
      <c r="K7" s="6"/>
      <c r="L7" s="277"/>
      <c r="M7" s="6" t="s">
        <v>35</v>
      </c>
      <c r="N7" s="6"/>
      <c r="O7" s="6"/>
      <c r="P7" s="6"/>
    </row>
    <row r="8" spans="1:16" ht="21.75" customHeight="1" x14ac:dyDescent="0.25">
      <c r="A8" s="27">
        <v>4</v>
      </c>
      <c r="B8" s="6"/>
      <c r="C8" s="277"/>
      <c r="D8" s="6" t="s">
        <v>105</v>
      </c>
      <c r="E8" s="6"/>
      <c r="F8" s="283"/>
      <c r="G8" s="5" t="s">
        <v>111</v>
      </c>
      <c r="H8" s="5" t="s">
        <v>112</v>
      </c>
      <c r="I8" s="6" t="s">
        <v>212</v>
      </c>
      <c r="J8" s="6" t="s">
        <v>213</v>
      </c>
      <c r="K8" s="6"/>
      <c r="L8" s="277"/>
      <c r="M8" s="6"/>
      <c r="N8" s="6" t="s">
        <v>209</v>
      </c>
      <c r="O8" s="6"/>
      <c r="P8" s="6"/>
    </row>
    <row r="9" spans="1:16" ht="21.75" customHeight="1" x14ac:dyDescent="0.25">
      <c r="A9" s="27">
        <v>5</v>
      </c>
      <c r="B9" s="6"/>
      <c r="C9" s="277"/>
      <c r="D9" s="17" t="s">
        <v>164</v>
      </c>
      <c r="E9" s="6"/>
      <c r="F9" s="283"/>
      <c r="G9" s="5" t="s">
        <v>165</v>
      </c>
      <c r="H9" s="160" t="s">
        <v>166</v>
      </c>
      <c r="I9" s="6" t="s">
        <v>214</v>
      </c>
      <c r="J9" s="6" t="s">
        <v>215</v>
      </c>
      <c r="K9" s="6"/>
      <c r="L9" s="277"/>
      <c r="M9" s="6" t="s">
        <v>35</v>
      </c>
      <c r="N9" s="6"/>
      <c r="O9" s="6"/>
      <c r="P9" s="6"/>
    </row>
    <row r="10" spans="1:16" ht="21.75" customHeight="1" x14ac:dyDescent="0.25">
      <c r="A10" s="27">
        <v>6</v>
      </c>
      <c r="B10" s="10"/>
      <c r="C10" s="278"/>
      <c r="D10" s="10" t="s">
        <v>127</v>
      </c>
      <c r="E10" s="10"/>
      <c r="F10" s="284"/>
      <c r="G10" s="9" t="s">
        <v>128</v>
      </c>
      <c r="H10" s="9" t="s">
        <v>129</v>
      </c>
      <c r="I10" s="10" t="s">
        <v>216</v>
      </c>
      <c r="J10" s="10" t="s">
        <v>217</v>
      </c>
      <c r="K10" s="10"/>
      <c r="L10" s="278"/>
      <c r="M10" s="10"/>
      <c r="N10" s="10" t="s">
        <v>173</v>
      </c>
      <c r="O10" s="10"/>
      <c r="P10" s="10"/>
    </row>
    <row r="11" spans="1:16" ht="19.5" customHeight="1" x14ac:dyDescent="0.25">
      <c r="A11" s="27">
        <v>7</v>
      </c>
      <c r="B11" s="11"/>
      <c r="C11" s="277" t="s">
        <v>21</v>
      </c>
      <c r="D11" s="19" t="s">
        <v>22</v>
      </c>
      <c r="E11" s="11"/>
      <c r="F11" s="282" t="s">
        <v>32</v>
      </c>
      <c r="G11" s="11" t="s">
        <v>33</v>
      </c>
      <c r="H11" s="11" t="s">
        <v>34</v>
      </c>
      <c r="I11" s="11" t="s">
        <v>218</v>
      </c>
      <c r="J11" s="11" t="s">
        <v>219</v>
      </c>
      <c r="K11" s="11"/>
      <c r="L11" s="277">
        <v>134</v>
      </c>
      <c r="M11" s="6" t="s">
        <v>35</v>
      </c>
      <c r="N11" s="11"/>
      <c r="O11" s="11"/>
      <c r="P11" s="11"/>
    </row>
    <row r="12" spans="1:16" ht="19.5" customHeight="1" x14ac:dyDescent="0.25">
      <c r="A12" s="27">
        <v>8</v>
      </c>
      <c r="B12" s="6"/>
      <c r="C12" s="280"/>
      <c r="D12" s="20" t="s">
        <v>44</v>
      </c>
      <c r="E12" s="18"/>
      <c r="F12" s="283"/>
      <c r="G12" s="6" t="s">
        <v>51</v>
      </c>
      <c r="H12" s="6" t="s">
        <v>52</v>
      </c>
      <c r="I12" s="6" t="s">
        <v>220</v>
      </c>
      <c r="J12" s="6" t="s">
        <v>221</v>
      </c>
      <c r="K12" s="6"/>
      <c r="L12" s="277"/>
      <c r="M12" s="6"/>
      <c r="N12" s="6" t="s">
        <v>209</v>
      </c>
      <c r="O12" s="6"/>
      <c r="P12" s="6"/>
    </row>
    <row r="13" spans="1:16" ht="19.5" customHeight="1" x14ac:dyDescent="0.25">
      <c r="A13" s="27">
        <v>9</v>
      </c>
      <c r="B13" s="6"/>
      <c r="C13" s="277"/>
      <c r="D13" s="20" t="s">
        <v>57</v>
      </c>
      <c r="E13" s="6"/>
      <c r="F13" s="283"/>
      <c r="G13" s="6" t="s">
        <v>64</v>
      </c>
      <c r="H13" s="6" t="s">
        <v>65</v>
      </c>
      <c r="I13" s="6" t="s">
        <v>222</v>
      </c>
      <c r="J13" s="6" t="s">
        <v>223</v>
      </c>
      <c r="K13" s="6"/>
      <c r="L13" s="277"/>
      <c r="M13" s="6" t="s">
        <v>35</v>
      </c>
      <c r="N13" s="6"/>
      <c r="O13" s="6"/>
      <c r="P13" s="6"/>
    </row>
    <row r="14" spans="1:16" ht="19.5" customHeight="1" x14ac:dyDescent="0.25">
      <c r="A14" s="27">
        <v>10</v>
      </c>
      <c r="B14" s="6"/>
      <c r="C14" s="277"/>
      <c r="D14" s="20" t="s">
        <v>105</v>
      </c>
      <c r="E14" s="6"/>
      <c r="F14" s="283"/>
      <c r="G14" s="6" t="s">
        <v>115</v>
      </c>
      <c r="H14" s="6" t="s">
        <v>116</v>
      </c>
      <c r="I14" s="6" t="s">
        <v>210</v>
      </c>
      <c r="J14" s="6" t="s">
        <v>211</v>
      </c>
      <c r="K14" s="6"/>
      <c r="L14" s="277"/>
      <c r="M14" s="6" t="s">
        <v>26</v>
      </c>
      <c r="N14" s="6"/>
      <c r="O14" s="6"/>
      <c r="P14" s="6"/>
    </row>
    <row r="15" spans="1:16" ht="19.5" customHeight="1" x14ac:dyDescent="0.25">
      <c r="A15" s="27">
        <v>11</v>
      </c>
      <c r="B15" s="6"/>
      <c r="C15" s="277"/>
      <c r="D15" s="24" t="s">
        <v>164</v>
      </c>
      <c r="E15" s="6"/>
      <c r="F15" s="283"/>
      <c r="G15" s="6" t="s">
        <v>175</v>
      </c>
      <c r="H15" s="6" t="s">
        <v>176</v>
      </c>
      <c r="I15" s="6" t="s">
        <v>224</v>
      </c>
      <c r="J15" s="6" t="s">
        <v>208</v>
      </c>
      <c r="K15" s="6"/>
      <c r="L15" s="277"/>
      <c r="M15" s="6" t="s">
        <v>26</v>
      </c>
      <c r="N15" s="6"/>
      <c r="O15" s="6"/>
      <c r="P15" s="6"/>
    </row>
    <row r="16" spans="1:16" ht="19.5" customHeight="1" x14ac:dyDescent="0.25">
      <c r="A16" s="27">
        <v>12</v>
      </c>
      <c r="B16" s="10"/>
      <c r="C16" s="281"/>
      <c r="D16" s="22" t="s">
        <v>127</v>
      </c>
      <c r="E16" s="21"/>
      <c r="F16" s="284"/>
      <c r="G16" s="10" t="s">
        <v>134</v>
      </c>
      <c r="H16" s="10" t="s">
        <v>135</v>
      </c>
      <c r="I16" s="10" t="s">
        <v>225</v>
      </c>
      <c r="J16" s="10" t="s">
        <v>226</v>
      </c>
      <c r="K16" s="10"/>
      <c r="L16" s="278"/>
      <c r="M16" s="10"/>
      <c r="N16" s="10" t="s">
        <v>173</v>
      </c>
      <c r="O16" s="10"/>
      <c r="P16" s="10"/>
    </row>
    <row r="17" spans="1:16" ht="19.5" customHeight="1" x14ac:dyDescent="0.25">
      <c r="A17" s="27">
        <v>13</v>
      </c>
      <c r="B17" s="11"/>
      <c r="C17" s="277" t="s">
        <v>21</v>
      </c>
      <c r="D17" s="19" t="s">
        <v>22</v>
      </c>
      <c r="E17" s="11"/>
      <c r="F17" s="282" t="s">
        <v>38</v>
      </c>
      <c r="G17" s="11" t="s">
        <v>39</v>
      </c>
      <c r="H17" s="11" t="s">
        <v>40</v>
      </c>
      <c r="I17" s="11" t="s">
        <v>227</v>
      </c>
      <c r="J17" s="11" t="s">
        <v>228</v>
      </c>
      <c r="K17" s="11"/>
      <c r="L17" s="277">
        <v>140</v>
      </c>
      <c r="M17" s="11"/>
      <c r="N17" s="6" t="s">
        <v>209</v>
      </c>
      <c r="O17" s="11"/>
      <c r="P17" s="11"/>
    </row>
    <row r="18" spans="1:16" ht="19.5" customHeight="1" x14ac:dyDescent="0.25">
      <c r="A18" s="27">
        <v>14</v>
      </c>
      <c r="B18" s="6"/>
      <c r="C18" s="277"/>
      <c r="D18" s="53" t="s">
        <v>44</v>
      </c>
      <c r="E18" s="6"/>
      <c r="F18" s="283"/>
      <c r="G18" s="47" t="s">
        <v>54</v>
      </c>
      <c r="H18" s="47" t="s">
        <v>55</v>
      </c>
      <c r="I18" s="47" t="s">
        <v>229</v>
      </c>
      <c r="J18" s="219" t="s">
        <v>230</v>
      </c>
      <c r="K18" s="6"/>
      <c r="L18" s="277"/>
      <c r="M18" s="6" t="s">
        <v>35</v>
      </c>
      <c r="N18" s="47"/>
      <c r="O18" s="6"/>
      <c r="P18" s="6"/>
    </row>
    <row r="19" spans="1:16" ht="19.5" customHeight="1" x14ac:dyDescent="0.25">
      <c r="B19" s="47"/>
      <c r="C19" s="280"/>
      <c r="D19" s="20" t="s">
        <v>105</v>
      </c>
      <c r="E19" s="48"/>
      <c r="F19" s="285"/>
      <c r="G19" s="20" t="s">
        <v>106</v>
      </c>
      <c r="H19" s="20" t="s">
        <v>107</v>
      </c>
      <c r="I19" s="20" t="s">
        <v>231</v>
      </c>
      <c r="J19" s="20" t="s">
        <v>232</v>
      </c>
      <c r="K19" s="48"/>
      <c r="L19" s="277"/>
      <c r="M19" s="60"/>
      <c r="N19" s="20" t="s">
        <v>209</v>
      </c>
      <c r="O19" s="48"/>
      <c r="P19" s="47"/>
    </row>
    <row r="20" spans="1:16" ht="19.5" customHeight="1" x14ac:dyDescent="0.25">
      <c r="A20" s="27">
        <v>15</v>
      </c>
      <c r="B20" s="10"/>
      <c r="C20" s="278"/>
      <c r="D20" s="211" t="s">
        <v>198</v>
      </c>
      <c r="E20" s="10"/>
      <c r="F20" s="284"/>
      <c r="G20" s="103" t="s">
        <v>199</v>
      </c>
      <c r="H20" s="103" t="s">
        <v>200</v>
      </c>
      <c r="I20" s="220"/>
      <c r="J20" s="220"/>
      <c r="K20" s="221"/>
      <c r="L20" s="278"/>
      <c r="M20" s="221"/>
      <c r="N20" s="220"/>
      <c r="O20" s="221"/>
      <c r="P20" s="221"/>
    </row>
    <row r="21" spans="1:16" ht="19.5" customHeight="1" x14ac:dyDescent="0.25">
      <c r="A21" s="27">
        <v>16</v>
      </c>
      <c r="B21" s="11"/>
      <c r="C21" s="277" t="s">
        <v>67</v>
      </c>
      <c r="D21" s="32" t="s">
        <v>182</v>
      </c>
      <c r="E21" s="11"/>
      <c r="F21" s="282" t="s">
        <v>68</v>
      </c>
      <c r="G21" s="11" t="s">
        <v>183</v>
      </c>
      <c r="H21" s="159" t="s">
        <v>184</v>
      </c>
      <c r="I21" s="11" t="s">
        <v>217</v>
      </c>
      <c r="J21" s="11" t="s">
        <v>231</v>
      </c>
      <c r="K21" s="11"/>
      <c r="L21" s="277">
        <v>75</v>
      </c>
      <c r="M21" s="6" t="s">
        <v>35</v>
      </c>
      <c r="N21" s="11"/>
      <c r="O21" s="11"/>
      <c r="P21" s="11"/>
    </row>
    <row r="22" spans="1:16" ht="19.5" customHeight="1" x14ac:dyDescent="0.25">
      <c r="A22" s="27">
        <v>17</v>
      </c>
      <c r="B22" s="6"/>
      <c r="C22" s="277"/>
      <c r="D22" s="20" t="s">
        <v>57</v>
      </c>
      <c r="E22" s="6"/>
      <c r="F22" s="283"/>
      <c r="G22" s="6" t="s">
        <v>69</v>
      </c>
      <c r="H22" s="6" t="s">
        <v>70</v>
      </c>
      <c r="I22" s="6" t="s">
        <v>233</v>
      </c>
      <c r="J22" s="6" t="s">
        <v>221</v>
      </c>
      <c r="K22" s="6"/>
      <c r="L22" s="277"/>
      <c r="M22" s="6"/>
      <c r="N22" s="6" t="s">
        <v>209</v>
      </c>
      <c r="O22" s="6"/>
      <c r="P22" s="6"/>
    </row>
    <row r="23" spans="1:16" ht="19.5" customHeight="1" x14ac:dyDescent="0.25">
      <c r="A23" s="27">
        <v>18</v>
      </c>
      <c r="B23" s="6"/>
      <c r="C23" s="277"/>
      <c r="D23" s="20" t="s">
        <v>105</v>
      </c>
      <c r="E23" s="6"/>
      <c r="F23" s="283"/>
      <c r="G23" s="6" t="s">
        <v>118</v>
      </c>
      <c r="H23" s="6" t="s">
        <v>119</v>
      </c>
      <c r="I23" s="6" t="s">
        <v>234</v>
      </c>
      <c r="J23" s="6" t="s">
        <v>235</v>
      </c>
      <c r="K23" s="6"/>
      <c r="L23" s="277"/>
      <c r="M23" s="6"/>
      <c r="N23" s="6" t="s">
        <v>173</v>
      </c>
      <c r="O23" s="6"/>
      <c r="P23" s="6"/>
    </row>
    <row r="24" spans="1:16" ht="19.5" customHeight="1" x14ac:dyDescent="0.25">
      <c r="A24" s="27">
        <v>19</v>
      </c>
      <c r="B24" s="6"/>
      <c r="C24" s="277"/>
      <c r="D24" s="20" t="s">
        <v>127</v>
      </c>
      <c r="E24" s="6"/>
      <c r="F24" s="283"/>
      <c r="G24" s="6" t="s">
        <v>137</v>
      </c>
      <c r="H24" s="6" t="s">
        <v>138</v>
      </c>
      <c r="I24" s="6" t="s">
        <v>212</v>
      </c>
      <c r="J24" s="6" t="s">
        <v>236</v>
      </c>
      <c r="K24" s="6"/>
      <c r="L24" s="277"/>
      <c r="M24" s="6" t="s">
        <v>35</v>
      </c>
      <c r="N24" s="6"/>
      <c r="O24" s="6"/>
      <c r="P24" s="6"/>
    </row>
    <row r="25" spans="1:16" ht="19.5" customHeight="1" x14ac:dyDescent="0.25">
      <c r="A25" s="27">
        <v>20</v>
      </c>
      <c r="B25" s="10"/>
      <c r="C25" s="278"/>
      <c r="D25" s="22" t="s">
        <v>164</v>
      </c>
      <c r="E25" s="10"/>
      <c r="F25" s="284"/>
      <c r="G25" s="10" t="s">
        <v>179</v>
      </c>
      <c r="H25" s="10" t="s">
        <v>180</v>
      </c>
      <c r="I25" s="10" t="s">
        <v>237</v>
      </c>
      <c r="J25" s="10" t="s">
        <v>238</v>
      </c>
      <c r="K25" s="10"/>
      <c r="L25" s="278"/>
      <c r="M25" s="10"/>
      <c r="N25" s="10" t="s">
        <v>173</v>
      </c>
      <c r="O25" s="10"/>
      <c r="P25" s="10"/>
    </row>
    <row r="26" spans="1:16" ht="21.75" customHeight="1" x14ac:dyDescent="0.25">
      <c r="A26" s="27">
        <v>21</v>
      </c>
      <c r="B26" s="11"/>
      <c r="C26" s="277" t="s">
        <v>67</v>
      </c>
      <c r="D26" s="26" t="s">
        <v>57</v>
      </c>
      <c r="E26" s="11"/>
      <c r="F26" s="282" t="s">
        <v>239</v>
      </c>
      <c r="G26" s="13" t="s">
        <v>73</v>
      </c>
      <c r="H26" s="14" t="s">
        <v>74</v>
      </c>
      <c r="I26" s="11" t="s">
        <v>240</v>
      </c>
      <c r="J26" s="11" t="s">
        <v>241</v>
      </c>
      <c r="K26" s="11"/>
      <c r="L26" s="277">
        <v>24</v>
      </c>
      <c r="M26" s="11"/>
      <c r="N26" s="11" t="s">
        <v>209</v>
      </c>
      <c r="O26" s="11"/>
      <c r="P26" s="11"/>
    </row>
    <row r="27" spans="1:16" ht="21.75" customHeight="1" x14ac:dyDescent="0.25">
      <c r="A27" s="27">
        <v>22</v>
      </c>
      <c r="B27" s="6"/>
      <c r="C27" s="277"/>
      <c r="D27" s="20" t="s">
        <v>164</v>
      </c>
      <c r="E27" s="6"/>
      <c r="F27" s="283"/>
      <c r="G27" s="5" t="s">
        <v>171</v>
      </c>
      <c r="H27" s="241" t="s">
        <v>172</v>
      </c>
      <c r="I27" s="6" t="s">
        <v>215</v>
      </c>
      <c r="J27" s="6" t="s">
        <v>242</v>
      </c>
      <c r="K27" s="6"/>
      <c r="L27" s="277"/>
      <c r="M27" s="6"/>
      <c r="N27" s="6" t="s">
        <v>173</v>
      </c>
      <c r="O27" s="6"/>
      <c r="P27" s="6"/>
    </row>
    <row r="28" spans="1:16" ht="21.75" customHeight="1" x14ac:dyDescent="0.25">
      <c r="A28" s="27">
        <v>23</v>
      </c>
      <c r="B28" s="6"/>
      <c r="C28" s="277"/>
      <c r="D28" s="20" t="s">
        <v>105</v>
      </c>
      <c r="E28" s="6"/>
      <c r="F28" s="283"/>
      <c r="G28" s="5" t="s">
        <v>122</v>
      </c>
      <c r="H28" s="241" t="s">
        <v>287</v>
      </c>
      <c r="I28" s="6" t="s">
        <v>214</v>
      </c>
      <c r="J28" s="6" t="s">
        <v>215</v>
      </c>
      <c r="K28" s="6"/>
      <c r="L28" s="277"/>
      <c r="M28" s="6" t="s">
        <v>35</v>
      </c>
      <c r="N28" s="6"/>
      <c r="O28" s="6"/>
      <c r="P28" s="6"/>
    </row>
    <row r="29" spans="1:16" ht="21.75" customHeight="1" x14ac:dyDescent="0.25">
      <c r="A29" s="27">
        <v>24</v>
      </c>
      <c r="B29" s="6"/>
      <c r="C29" s="277"/>
      <c r="D29" s="23" t="s">
        <v>192</v>
      </c>
      <c r="E29" s="6"/>
      <c r="F29" s="283"/>
      <c r="G29" s="5" t="s">
        <v>193</v>
      </c>
      <c r="H29" s="241" t="s">
        <v>194</v>
      </c>
      <c r="I29" s="6" t="s">
        <v>216</v>
      </c>
      <c r="J29" s="6" t="s">
        <v>214</v>
      </c>
      <c r="K29" s="6"/>
      <c r="L29" s="277"/>
      <c r="M29" s="6" t="s">
        <v>35</v>
      </c>
      <c r="N29" s="6"/>
      <c r="O29" s="6"/>
      <c r="P29" s="6"/>
    </row>
    <row r="30" spans="1:16" ht="21.75" customHeight="1" x14ac:dyDescent="0.25">
      <c r="A30" s="27">
        <v>25</v>
      </c>
      <c r="B30" s="6"/>
      <c r="C30" s="277"/>
      <c r="D30" s="20" t="s">
        <v>182</v>
      </c>
      <c r="E30" s="6"/>
      <c r="F30" s="283"/>
      <c r="G30" s="5" t="s">
        <v>188</v>
      </c>
      <c r="H30" s="4" t="s">
        <v>189</v>
      </c>
      <c r="I30" s="6" t="s">
        <v>245</v>
      </c>
      <c r="J30" s="6" t="s">
        <v>211</v>
      </c>
      <c r="K30" s="6"/>
      <c r="L30" s="277"/>
      <c r="M30" s="6" t="s">
        <v>35</v>
      </c>
      <c r="N30" s="6"/>
      <c r="O30" s="6"/>
      <c r="P30" s="6"/>
    </row>
    <row r="31" spans="1:16" ht="21.75" customHeight="1" x14ac:dyDescent="0.25">
      <c r="A31" s="27">
        <v>26</v>
      </c>
      <c r="B31" s="10"/>
      <c r="C31" s="278"/>
      <c r="D31" s="22" t="s">
        <v>127</v>
      </c>
      <c r="E31" s="10"/>
      <c r="F31" s="284"/>
      <c r="G31" s="9" t="s">
        <v>140</v>
      </c>
      <c r="H31" s="15" t="s">
        <v>141</v>
      </c>
      <c r="I31" s="10" t="s">
        <v>246</v>
      </c>
      <c r="J31" s="10" t="s">
        <v>241</v>
      </c>
      <c r="K31" s="10"/>
      <c r="L31" s="278"/>
      <c r="M31" s="6" t="s">
        <v>35</v>
      </c>
      <c r="N31" s="10"/>
      <c r="O31" s="10"/>
      <c r="P31" s="10"/>
    </row>
    <row r="32" spans="1:16" ht="21.75" customHeight="1" x14ac:dyDescent="0.25">
      <c r="A32" s="27">
        <v>27</v>
      </c>
      <c r="B32" s="11"/>
      <c r="C32" s="277" t="s">
        <v>77</v>
      </c>
      <c r="D32" s="26" t="s">
        <v>78</v>
      </c>
      <c r="E32" s="11"/>
      <c r="F32" s="282" t="s">
        <v>79</v>
      </c>
      <c r="G32" s="13" t="s">
        <v>80</v>
      </c>
      <c r="H32" s="13" t="s">
        <v>81</v>
      </c>
      <c r="I32" s="11" t="s">
        <v>247</v>
      </c>
      <c r="J32" s="11" t="s">
        <v>217</v>
      </c>
      <c r="K32" s="11"/>
      <c r="L32" s="277">
        <v>18</v>
      </c>
      <c r="M32" s="6" t="s">
        <v>26</v>
      </c>
      <c r="N32" s="11"/>
      <c r="O32" s="11"/>
      <c r="P32" s="11"/>
    </row>
    <row r="33" spans="1:16" ht="21.75" customHeight="1" x14ac:dyDescent="0.25">
      <c r="A33" s="27">
        <v>28</v>
      </c>
      <c r="B33" s="6"/>
      <c r="C33" s="277"/>
      <c r="D33" s="20" t="s">
        <v>248</v>
      </c>
      <c r="E33" s="6"/>
      <c r="F33" s="283"/>
      <c r="G33" s="5" t="s">
        <v>91</v>
      </c>
      <c r="H33" s="5" t="s">
        <v>92</v>
      </c>
      <c r="I33" s="6" t="s">
        <v>249</v>
      </c>
      <c r="J33" s="6" t="s">
        <v>250</v>
      </c>
      <c r="K33" s="6"/>
      <c r="L33" s="277"/>
      <c r="M33" s="6" t="s">
        <v>35</v>
      </c>
      <c r="N33" s="6"/>
      <c r="O33" s="6"/>
      <c r="P33" s="6"/>
    </row>
    <row r="34" spans="1:16" ht="21.75" customHeight="1" x14ac:dyDescent="0.25">
      <c r="A34" s="27">
        <v>29</v>
      </c>
      <c r="B34" s="6"/>
      <c r="C34" s="277"/>
      <c r="D34" s="20" t="s">
        <v>97</v>
      </c>
      <c r="E34" s="6"/>
      <c r="F34" s="283"/>
      <c r="G34" s="5" t="s">
        <v>98</v>
      </c>
      <c r="H34" s="5" t="s">
        <v>65</v>
      </c>
      <c r="I34" s="6" t="s">
        <v>212</v>
      </c>
      <c r="J34" s="6" t="s">
        <v>223</v>
      </c>
      <c r="K34" s="6"/>
      <c r="L34" s="277"/>
      <c r="M34" s="6" t="s">
        <v>26</v>
      </c>
      <c r="N34" s="6"/>
      <c r="O34" s="6"/>
      <c r="P34" s="6"/>
    </row>
    <row r="35" spans="1:16" ht="21.75" customHeight="1" x14ac:dyDescent="0.25">
      <c r="A35" s="27">
        <v>30</v>
      </c>
      <c r="B35" s="6"/>
      <c r="C35" s="277"/>
      <c r="D35" s="20" t="s">
        <v>150</v>
      </c>
      <c r="E35" s="6"/>
      <c r="F35" s="283"/>
      <c r="G35" s="5" t="s">
        <v>151</v>
      </c>
      <c r="H35" s="5" t="s">
        <v>152</v>
      </c>
      <c r="I35" s="6" t="s">
        <v>216</v>
      </c>
      <c r="J35" s="6" t="s">
        <v>251</v>
      </c>
      <c r="K35" s="6"/>
      <c r="L35" s="277"/>
      <c r="M35" s="6" t="s">
        <v>26</v>
      </c>
      <c r="N35" s="6"/>
      <c r="O35" s="6"/>
      <c r="P35" s="6"/>
    </row>
    <row r="36" spans="1:16" ht="19.5" customHeight="1" x14ac:dyDescent="0.25">
      <c r="A36" s="27">
        <v>31</v>
      </c>
      <c r="B36" s="6"/>
      <c r="C36" s="277"/>
      <c r="D36" s="20" t="s">
        <v>143</v>
      </c>
      <c r="E36" s="6"/>
      <c r="F36" s="283"/>
      <c r="G36" s="5" t="s">
        <v>144</v>
      </c>
      <c r="H36" s="5" t="s">
        <v>145</v>
      </c>
      <c r="I36" s="6" t="s">
        <v>252</v>
      </c>
      <c r="J36" s="6" t="s">
        <v>221</v>
      </c>
      <c r="K36" s="6"/>
      <c r="L36" s="277"/>
      <c r="M36" s="6"/>
      <c r="N36" s="6"/>
      <c r="O36" s="6" t="s">
        <v>253</v>
      </c>
      <c r="P36" s="6"/>
    </row>
    <row r="37" spans="1:16" ht="19.5" customHeight="1" x14ac:dyDescent="0.25">
      <c r="A37" s="27">
        <v>32</v>
      </c>
      <c r="B37" s="10"/>
      <c r="C37" s="278"/>
      <c r="D37" s="25" t="s">
        <v>157</v>
      </c>
      <c r="E37" s="10"/>
      <c r="F37" s="284"/>
      <c r="G37" s="9" t="s">
        <v>158</v>
      </c>
      <c r="H37" s="9" t="s">
        <v>159</v>
      </c>
      <c r="I37" s="10" t="s">
        <v>231</v>
      </c>
      <c r="J37" s="10" t="s">
        <v>232</v>
      </c>
      <c r="K37" s="10"/>
      <c r="L37" s="278"/>
      <c r="M37" s="10" t="s">
        <v>35</v>
      </c>
      <c r="N37" s="10"/>
      <c r="O37" s="10"/>
      <c r="P37" s="10"/>
    </row>
    <row r="38" spans="1:16" ht="19.5" customHeight="1" x14ac:dyDescent="0.25">
      <c r="A38" s="27">
        <v>33</v>
      </c>
      <c r="B38" s="11"/>
      <c r="C38" s="277" t="s">
        <v>77</v>
      </c>
      <c r="D38" s="26" t="s">
        <v>78</v>
      </c>
      <c r="E38" s="11"/>
      <c r="F38" s="282" t="s">
        <v>86</v>
      </c>
      <c r="G38" s="11" t="s">
        <v>87</v>
      </c>
      <c r="H38" s="11" t="s">
        <v>88</v>
      </c>
      <c r="I38" s="11" t="s">
        <v>254</v>
      </c>
      <c r="J38" s="11" t="s">
        <v>221</v>
      </c>
      <c r="K38" s="11"/>
      <c r="L38" s="277">
        <v>56</v>
      </c>
      <c r="M38" s="11" t="s">
        <v>35</v>
      </c>
      <c r="N38" s="11"/>
      <c r="O38" s="11"/>
      <c r="P38" s="11"/>
    </row>
    <row r="39" spans="1:16" ht="19.5" customHeight="1" x14ac:dyDescent="0.25">
      <c r="A39" s="27">
        <v>34</v>
      </c>
      <c r="B39" s="6"/>
      <c r="C39" s="277"/>
      <c r="D39" s="20" t="s">
        <v>97</v>
      </c>
      <c r="E39" s="6"/>
      <c r="F39" s="283"/>
      <c r="G39" s="6" t="s">
        <v>102</v>
      </c>
      <c r="H39" s="6" t="s">
        <v>103</v>
      </c>
      <c r="I39" s="6" t="s">
        <v>255</v>
      </c>
      <c r="J39" s="6" t="s">
        <v>256</v>
      </c>
      <c r="K39" s="6"/>
      <c r="L39" s="277"/>
      <c r="M39" s="6" t="s">
        <v>35</v>
      </c>
      <c r="N39" s="6"/>
      <c r="O39" s="6"/>
      <c r="P39" s="6"/>
    </row>
    <row r="40" spans="1:16" ht="19.5" customHeight="1" x14ac:dyDescent="0.25">
      <c r="A40" s="27">
        <v>35</v>
      </c>
      <c r="B40" s="6"/>
      <c r="C40" s="277"/>
      <c r="D40" s="20" t="s">
        <v>90</v>
      </c>
      <c r="E40" s="6"/>
      <c r="F40" s="283"/>
      <c r="G40" s="6" t="s">
        <v>95</v>
      </c>
      <c r="H40" s="6" t="s">
        <v>25</v>
      </c>
      <c r="I40" s="6" t="s">
        <v>257</v>
      </c>
      <c r="J40" s="6" t="s">
        <v>206</v>
      </c>
      <c r="K40" s="6"/>
      <c r="L40" s="277"/>
      <c r="M40" s="6" t="s">
        <v>26</v>
      </c>
      <c r="N40" s="6"/>
      <c r="O40" s="6"/>
      <c r="P40" s="6"/>
    </row>
    <row r="41" spans="1:16" ht="19.5" customHeight="1" x14ac:dyDescent="0.25">
      <c r="A41" s="27">
        <v>36</v>
      </c>
      <c r="B41" s="6"/>
      <c r="C41" s="277"/>
      <c r="D41" s="20" t="s">
        <v>150</v>
      </c>
      <c r="E41" s="6"/>
      <c r="F41" s="283"/>
      <c r="G41" s="6" t="s">
        <v>154</v>
      </c>
      <c r="H41" s="6" t="s">
        <v>155</v>
      </c>
      <c r="I41" s="6" t="s">
        <v>219</v>
      </c>
      <c r="J41" s="6" t="s">
        <v>251</v>
      </c>
      <c r="K41" s="6"/>
      <c r="L41" s="277"/>
      <c r="M41" s="6" t="s">
        <v>26</v>
      </c>
      <c r="N41" s="6"/>
      <c r="O41" s="6"/>
      <c r="P41" s="6"/>
    </row>
    <row r="42" spans="1:16" ht="19.5" customHeight="1" x14ac:dyDescent="0.25">
      <c r="A42" s="27">
        <v>37</v>
      </c>
      <c r="B42" s="6"/>
      <c r="C42" s="277"/>
      <c r="D42" s="20" t="s">
        <v>143</v>
      </c>
      <c r="E42" s="6"/>
      <c r="F42" s="283"/>
      <c r="G42" s="6" t="s">
        <v>147</v>
      </c>
      <c r="H42" s="6" t="s">
        <v>148</v>
      </c>
      <c r="I42" s="6" t="s">
        <v>249</v>
      </c>
      <c r="J42" s="6" t="s">
        <v>258</v>
      </c>
      <c r="K42" s="6"/>
      <c r="L42" s="277"/>
      <c r="M42" s="6"/>
      <c r="N42" s="6"/>
      <c r="O42" s="6" t="s">
        <v>253</v>
      </c>
      <c r="P42" s="6"/>
    </row>
    <row r="43" spans="1:16" ht="19.5" customHeight="1" x14ac:dyDescent="0.25">
      <c r="A43" s="27">
        <v>38</v>
      </c>
      <c r="B43" s="10"/>
      <c r="C43" s="278"/>
      <c r="D43" s="25" t="s">
        <v>157</v>
      </c>
      <c r="E43" s="10"/>
      <c r="F43" s="284"/>
      <c r="G43" s="10" t="s">
        <v>161</v>
      </c>
      <c r="H43" s="10" t="s">
        <v>162</v>
      </c>
      <c r="I43" s="10" t="s">
        <v>259</v>
      </c>
      <c r="J43" s="10" t="s">
        <v>260</v>
      </c>
      <c r="K43" s="10"/>
      <c r="L43" s="278"/>
      <c r="M43" s="10" t="s">
        <v>26</v>
      </c>
      <c r="N43" s="10"/>
      <c r="O43" s="10"/>
      <c r="P43" s="10"/>
    </row>
  </sheetData>
  <mergeCells count="23">
    <mergeCell ref="A1:L1"/>
    <mergeCell ref="A2:L2"/>
    <mergeCell ref="F5:F10"/>
    <mergeCell ref="F32:F37"/>
    <mergeCell ref="F11:F16"/>
    <mergeCell ref="F17:F20"/>
    <mergeCell ref="F21:F25"/>
    <mergeCell ref="L21:L25"/>
    <mergeCell ref="L38:L43"/>
    <mergeCell ref="C26:C31"/>
    <mergeCell ref="C5:C10"/>
    <mergeCell ref="C32:C37"/>
    <mergeCell ref="C21:C25"/>
    <mergeCell ref="C38:C43"/>
    <mergeCell ref="C17:C20"/>
    <mergeCell ref="C11:C16"/>
    <mergeCell ref="L26:L31"/>
    <mergeCell ref="L5:L10"/>
    <mergeCell ref="L32:L37"/>
    <mergeCell ref="L11:L16"/>
    <mergeCell ref="L17:L20"/>
    <mergeCell ref="F38:F43"/>
    <mergeCell ref="F26:F31"/>
  </mergeCells>
  <pageMargins left="0.7" right="0.7" top="0.75" bottom="0.75" header="0.3" footer="0.3"/>
  <pageSetup paperSize="9" scale="62" fitToWidth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1F8B3-69C6-4818-915B-319D351167F8}">
  <sheetPr>
    <pageSetUpPr fitToPage="1"/>
  </sheetPr>
  <dimension ref="A1:R43"/>
  <sheetViews>
    <sheetView topLeftCell="A11" zoomScale="80" zoomScaleNormal="80" workbookViewId="0">
      <selection activeCell="P23" sqref="P23"/>
    </sheetView>
  </sheetViews>
  <sheetFormatPr defaultRowHeight="15" x14ac:dyDescent="0.25"/>
  <cols>
    <col min="1" max="1" width="5.7109375" style="27" customWidth="1"/>
    <col min="2" max="2" width="9.140625" style="27" bestFit="1" customWidth="1"/>
    <col min="3" max="3" width="10.7109375" bestFit="1" customWidth="1"/>
    <col min="4" max="4" width="16.28515625" customWidth="1"/>
    <col min="5" max="5" width="10.7109375" bestFit="1" customWidth="1"/>
    <col min="7" max="7" width="17.28515625" bestFit="1" customWidth="1"/>
    <col min="8" max="8" width="23.85546875" customWidth="1"/>
    <col min="9" max="9" width="8.42578125" customWidth="1"/>
    <col min="10" max="10" width="12.7109375" customWidth="1"/>
    <col min="11" max="11" width="41.140625" customWidth="1"/>
    <col min="14" max="14" width="13" bestFit="1" customWidth="1"/>
    <col min="15" max="15" width="12.7109375" bestFit="1" customWidth="1"/>
    <col min="16" max="16" width="11.85546875" bestFit="1" customWidth="1"/>
  </cols>
  <sheetData>
    <row r="1" spans="1:16" x14ac:dyDescent="0.25">
      <c r="A1" s="262" t="s">
        <v>0</v>
      </c>
      <c r="B1" s="262"/>
      <c r="C1" s="262"/>
      <c r="D1" s="262"/>
      <c r="E1" s="262"/>
      <c r="F1" s="262"/>
      <c r="G1" s="262"/>
      <c r="H1" s="262"/>
      <c r="I1" s="262"/>
      <c r="J1" s="262"/>
      <c r="K1" s="262"/>
      <c r="L1" s="262"/>
      <c r="M1" s="262"/>
    </row>
    <row r="2" spans="1:16" x14ac:dyDescent="0.25">
      <c r="A2" s="263" t="s">
        <v>1</v>
      </c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</row>
    <row r="4" spans="1:16" ht="38.25" x14ac:dyDescent="0.25">
      <c r="A4" s="105" t="s">
        <v>2</v>
      </c>
      <c r="B4" s="106" t="s">
        <v>264</v>
      </c>
      <c r="C4" s="28" t="s">
        <v>4</v>
      </c>
      <c r="D4" s="1" t="s">
        <v>265</v>
      </c>
      <c r="E4" s="1" t="s">
        <v>5</v>
      </c>
      <c r="F4" s="1" t="s">
        <v>7</v>
      </c>
      <c r="G4" s="1" t="s">
        <v>8</v>
      </c>
      <c r="H4" s="311" t="s">
        <v>266</v>
      </c>
      <c r="I4" s="312"/>
      <c r="J4" s="3" t="s">
        <v>9</v>
      </c>
      <c r="K4" s="1" t="s">
        <v>10</v>
      </c>
      <c r="L4" s="1" t="s">
        <v>203</v>
      </c>
      <c r="M4" s="1" t="s">
        <v>204</v>
      </c>
      <c r="N4" s="2" t="s">
        <v>12</v>
      </c>
      <c r="O4" s="2" t="s">
        <v>13</v>
      </c>
      <c r="P4" s="2" t="s">
        <v>14</v>
      </c>
    </row>
    <row r="5" spans="1:16" ht="21.75" customHeight="1" x14ac:dyDescent="0.25">
      <c r="A5" s="27">
        <v>1</v>
      </c>
      <c r="B5" s="11" t="s">
        <v>20</v>
      </c>
      <c r="C5" s="279" t="s">
        <v>21</v>
      </c>
      <c r="D5" s="299" t="s">
        <v>267</v>
      </c>
      <c r="E5" s="6" t="s">
        <v>22</v>
      </c>
      <c r="F5" s="6"/>
      <c r="G5" s="308" t="s">
        <v>23</v>
      </c>
      <c r="H5" s="303" t="s">
        <v>268</v>
      </c>
      <c r="I5" s="304">
        <v>21</v>
      </c>
      <c r="J5" s="90" t="s">
        <v>24</v>
      </c>
      <c r="K5" s="5" t="s">
        <v>25</v>
      </c>
      <c r="L5" s="6"/>
      <c r="M5" s="279">
        <v>52</v>
      </c>
      <c r="N5" s="6" t="s">
        <v>26</v>
      </c>
      <c r="O5" s="6"/>
      <c r="P5" s="6"/>
    </row>
    <row r="6" spans="1:16" ht="21.75" customHeight="1" x14ac:dyDescent="0.25">
      <c r="A6" s="27">
        <v>2</v>
      </c>
      <c r="B6" s="6" t="s">
        <v>43</v>
      </c>
      <c r="C6" s="277"/>
      <c r="D6" s="293"/>
      <c r="E6" s="6" t="s">
        <v>44</v>
      </c>
      <c r="F6" s="6"/>
      <c r="G6" s="308"/>
      <c r="H6" s="303"/>
      <c r="I6" s="304"/>
      <c r="J6" s="90" t="s">
        <v>45</v>
      </c>
      <c r="K6" s="5" t="s">
        <v>46</v>
      </c>
      <c r="L6" s="6"/>
      <c r="M6" s="277"/>
      <c r="O6" s="6" t="s">
        <v>269</v>
      </c>
      <c r="P6" s="6"/>
    </row>
    <row r="7" spans="1:16" ht="21.75" customHeight="1" x14ac:dyDescent="0.25">
      <c r="A7" s="27">
        <v>3</v>
      </c>
      <c r="B7" s="6" t="s">
        <v>56</v>
      </c>
      <c r="C7" s="277"/>
      <c r="D7" s="293"/>
      <c r="E7" s="6" t="s">
        <v>57</v>
      </c>
      <c r="F7" s="6"/>
      <c r="G7" s="308"/>
      <c r="H7" s="303"/>
      <c r="I7" s="304"/>
      <c r="J7" s="90" t="s">
        <v>58</v>
      </c>
      <c r="K7" s="5" t="s">
        <v>59</v>
      </c>
      <c r="L7" s="6"/>
      <c r="M7" s="277"/>
      <c r="N7" s="6" t="s">
        <v>26</v>
      </c>
      <c r="O7" s="6"/>
      <c r="P7" s="6"/>
    </row>
    <row r="8" spans="1:16" ht="21.75" customHeight="1" x14ac:dyDescent="0.25">
      <c r="A8" s="27">
        <v>4</v>
      </c>
      <c r="B8" s="6" t="s">
        <v>110</v>
      </c>
      <c r="C8" s="277"/>
      <c r="D8" s="293"/>
      <c r="E8" s="6" t="s">
        <v>105</v>
      </c>
      <c r="F8" s="6"/>
      <c r="G8" s="308"/>
      <c r="H8" s="315" t="s">
        <v>270</v>
      </c>
      <c r="I8" s="317">
        <v>31</v>
      </c>
      <c r="J8" s="90" t="s">
        <v>111</v>
      </c>
      <c r="K8" s="5" t="s">
        <v>112</v>
      </c>
      <c r="L8" s="6"/>
      <c r="M8" s="277"/>
      <c r="O8" s="6" t="s">
        <v>271</v>
      </c>
      <c r="P8" s="6"/>
    </row>
    <row r="9" spans="1:16" ht="21.75" customHeight="1" x14ac:dyDescent="0.25">
      <c r="A9" s="27">
        <v>5</v>
      </c>
      <c r="B9" s="6" t="s">
        <v>163</v>
      </c>
      <c r="C9" s="277"/>
      <c r="D9" s="293"/>
      <c r="E9" s="17" t="s">
        <v>164</v>
      </c>
      <c r="F9" s="6"/>
      <c r="G9" s="308"/>
      <c r="H9" s="316"/>
      <c r="I9" s="318"/>
      <c r="J9" s="90" t="s">
        <v>165</v>
      </c>
      <c r="K9" s="8" t="s">
        <v>166</v>
      </c>
      <c r="L9" s="6"/>
      <c r="M9" s="277"/>
      <c r="N9" s="6" t="s">
        <v>35</v>
      </c>
      <c r="O9" s="6"/>
      <c r="P9" s="6"/>
    </row>
    <row r="10" spans="1:16" ht="21.75" customHeight="1" x14ac:dyDescent="0.25">
      <c r="A10" s="27">
        <v>6</v>
      </c>
      <c r="B10" s="20" t="s">
        <v>126</v>
      </c>
      <c r="C10" s="278"/>
      <c r="D10" s="298"/>
      <c r="E10" s="10" t="s">
        <v>127</v>
      </c>
      <c r="F10" s="10"/>
      <c r="G10" s="285"/>
      <c r="H10" s="98" t="s">
        <v>272</v>
      </c>
      <c r="I10" s="99"/>
      <c r="J10" s="91" t="s">
        <v>128</v>
      </c>
      <c r="K10" s="9" t="s">
        <v>129</v>
      </c>
      <c r="L10" s="10"/>
      <c r="M10" s="278"/>
      <c r="N10" s="103"/>
      <c r="O10" s="10" t="s">
        <v>271</v>
      </c>
      <c r="P10" s="10"/>
    </row>
    <row r="11" spans="1:16" ht="19.5" customHeight="1" x14ac:dyDescent="0.25">
      <c r="A11" s="27">
        <v>7</v>
      </c>
      <c r="B11" s="11" t="s">
        <v>31</v>
      </c>
      <c r="C11" s="277" t="s">
        <v>21</v>
      </c>
      <c r="D11" s="299" t="s">
        <v>267</v>
      </c>
      <c r="E11" s="19" t="s">
        <v>22</v>
      </c>
      <c r="F11" s="59"/>
      <c r="G11" s="309" t="s">
        <v>32</v>
      </c>
      <c r="H11" s="305" t="s">
        <v>273</v>
      </c>
      <c r="I11" s="313">
        <v>84</v>
      </c>
      <c r="J11" s="64" t="s">
        <v>33</v>
      </c>
      <c r="K11" s="11" t="s">
        <v>34</v>
      </c>
      <c r="L11" s="11"/>
      <c r="M11" s="277">
        <v>134</v>
      </c>
      <c r="N11" s="11" t="s">
        <v>35</v>
      </c>
      <c r="O11" s="11"/>
      <c r="P11" s="11"/>
    </row>
    <row r="12" spans="1:16" ht="19.5" customHeight="1" x14ac:dyDescent="0.25">
      <c r="A12" s="27">
        <v>8</v>
      </c>
      <c r="B12" s="6" t="s">
        <v>50</v>
      </c>
      <c r="C12" s="280"/>
      <c r="D12" s="293"/>
      <c r="E12" s="20" t="s">
        <v>44</v>
      </c>
      <c r="F12" s="96"/>
      <c r="G12" s="309"/>
      <c r="H12" s="305"/>
      <c r="I12" s="313"/>
      <c r="J12" s="18" t="s">
        <v>51</v>
      </c>
      <c r="K12" s="6" t="s">
        <v>52</v>
      </c>
      <c r="L12" s="6"/>
      <c r="M12" s="277"/>
      <c r="N12" s="6"/>
      <c r="O12" s="6" t="s">
        <v>269</v>
      </c>
      <c r="P12" s="6"/>
    </row>
    <row r="13" spans="1:16" ht="19.5" customHeight="1" x14ac:dyDescent="0.25">
      <c r="A13" s="27">
        <v>9</v>
      </c>
      <c r="B13" s="6" t="s">
        <v>63</v>
      </c>
      <c r="C13" s="277"/>
      <c r="D13" s="293"/>
      <c r="E13" s="20" t="s">
        <v>57</v>
      </c>
      <c r="F13" s="58"/>
      <c r="G13" s="309"/>
      <c r="H13" s="247"/>
      <c r="I13" s="314"/>
      <c r="J13" s="18" t="s">
        <v>64</v>
      </c>
      <c r="K13" s="6" t="s">
        <v>65</v>
      </c>
      <c r="L13" s="6"/>
      <c r="M13" s="277"/>
      <c r="N13" s="6" t="s">
        <v>35</v>
      </c>
      <c r="O13" s="6"/>
      <c r="P13" s="6"/>
    </row>
    <row r="14" spans="1:16" ht="19.5" customHeight="1" x14ac:dyDescent="0.25">
      <c r="A14" s="27">
        <v>10</v>
      </c>
      <c r="B14" s="6" t="s">
        <v>114</v>
      </c>
      <c r="C14" s="277"/>
      <c r="D14" s="293"/>
      <c r="E14" s="20" t="s">
        <v>105</v>
      </c>
      <c r="F14" s="58"/>
      <c r="G14" s="309"/>
      <c r="H14" s="305" t="s">
        <v>274</v>
      </c>
      <c r="I14" s="313">
        <v>50</v>
      </c>
      <c r="J14" s="18" t="s">
        <v>115</v>
      </c>
      <c r="K14" s="6" t="s">
        <v>116</v>
      </c>
      <c r="L14" s="6"/>
      <c r="M14" s="277"/>
      <c r="N14" s="6" t="s">
        <v>26</v>
      </c>
      <c r="O14" s="6"/>
      <c r="P14" s="6"/>
    </row>
    <row r="15" spans="1:16" ht="19.5" customHeight="1" x14ac:dyDescent="0.25">
      <c r="A15" s="27">
        <v>11</v>
      </c>
      <c r="B15" s="6" t="s">
        <v>174</v>
      </c>
      <c r="C15" s="277"/>
      <c r="D15" s="293"/>
      <c r="E15" s="24" t="s">
        <v>164</v>
      </c>
      <c r="F15" s="58"/>
      <c r="G15" s="309"/>
      <c r="H15" s="305"/>
      <c r="I15" s="313"/>
      <c r="J15" s="18" t="s">
        <v>175</v>
      </c>
      <c r="K15" s="6" t="s">
        <v>176</v>
      </c>
      <c r="L15" s="6"/>
      <c r="M15" s="277"/>
      <c r="N15" s="6" t="s">
        <v>26</v>
      </c>
      <c r="O15" s="6"/>
      <c r="P15" s="6"/>
    </row>
    <row r="16" spans="1:16" ht="19.5" customHeight="1" x14ac:dyDescent="0.25">
      <c r="A16" s="27">
        <v>12</v>
      </c>
      <c r="B16" s="20" t="s">
        <v>133</v>
      </c>
      <c r="C16" s="281"/>
      <c r="D16" s="298"/>
      <c r="E16" s="22" t="s">
        <v>127</v>
      </c>
      <c r="F16" s="97"/>
      <c r="G16" s="310"/>
      <c r="H16" s="94" t="s">
        <v>275</v>
      </c>
      <c r="I16" s="95"/>
      <c r="J16" s="21" t="s">
        <v>134</v>
      </c>
      <c r="K16" s="47" t="s">
        <v>135</v>
      </c>
      <c r="L16" s="10"/>
      <c r="M16" s="278"/>
      <c r="N16" s="10"/>
      <c r="O16" s="10" t="s">
        <v>271</v>
      </c>
      <c r="P16" s="10"/>
    </row>
    <row r="17" spans="1:18" ht="19.5" customHeight="1" x14ac:dyDescent="0.25">
      <c r="A17" s="27">
        <v>13</v>
      </c>
      <c r="B17" s="19" t="s">
        <v>37</v>
      </c>
      <c r="C17" s="277" t="s">
        <v>21</v>
      </c>
      <c r="D17" s="300" t="s">
        <v>267</v>
      </c>
      <c r="E17" s="19" t="s">
        <v>22</v>
      </c>
      <c r="F17" s="11"/>
      <c r="G17" s="282" t="s">
        <v>38</v>
      </c>
      <c r="H17" s="82" t="s">
        <v>276</v>
      </c>
      <c r="I17" s="92" t="s">
        <v>277</v>
      </c>
      <c r="J17" s="59" t="s">
        <v>39</v>
      </c>
      <c r="K17" s="20" t="s">
        <v>40</v>
      </c>
      <c r="L17" s="64"/>
      <c r="M17" s="277">
        <v>140</v>
      </c>
      <c r="N17" s="11"/>
      <c r="O17" s="6" t="s">
        <v>269</v>
      </c>
      <c r="P17" s="11"/>
    </row>
    <row r="18" spans="1:18" ht="19.5" customHeight="1" x14ac:dyDescent="0.25">
      <c r="A18" s="27">
        <v>14</v>
      </c>
      <c r="B18" s="6" t="s">
        <v>53</v>
      </c>
      <c r="C18" s="277"/>
      <c r="D18" s="301"/>
      <c r="E18" s="53" t="s">
        <v>44</v>
      </c>
      <c r="F18" s="6"/>
      <c r="G18" s="283"/>
      <c r="H18" s="83" t="s">
        <v>278</v>
      </c>
      <c r="I18" s="93">
        <v>40</v>
      </c>
      <c r="J18" s="58" t="s">
        <v>54</v>
      </c>
      <c r="K18" s="20" t="s">
        <v>55</v>
      </c>
      <c r="L18" s="18"/>
      <c r="M18" s="277"/>
      <c r="N18" s="6" t="s">
        <v>35</v>
      </c>
      <c r="O18" s="47"/>
      <c r="P18" s="6"/>
    </row>
    <row r="19" spans="1:18" ht="19.5" customHeight="1" x14ac:dyDescent="0.25">
      <c r="B19" s="53" t="s">
        <v>104</v>
      </c>
      <c r="C19" s="277"/>
      <c r="D19" s="301"/>
      <c r="E19" s="20" t="s">
        <v>105</v>
      </c>
      <c r="F19" s="48"/>
      <c r="G19" s="279"/>
      <c r="H19" s="208" t="s">
        <v>279</v>
      </c>
      <c r="I19" s="206">
        <v>53</v>
      </c>
      <c r="J19" s="209" t="s">
        <v>106</v>
      </c>
      <c r="K19" s="210" t="s">
        <v>107</v>
      </c>
      <c r="L19" s="48"/>
      <c r="M19" s="277"/>
      <c r="N19" s="60"/>
      <c r="O19" s="20" t="s">
        <v>269</v>
      </c>
      <c r="P19" s="48"/>
    </row>
    <row r="20" spans="1:18" ht="19.5" customHeight="1" x14ac:dyDescent="0.25">
      <c r="A20" s="27">
        <v>15</v>
      </c>
      <c r="B20" s="52" t="s">
        <v>197</v>
      </c>
      <c r="C20" s="307"/>
      <c r="D20" s="302"/>
      <c r="E20" s="211" t="s">
        <v>198</v>
      </c>
      <c r="F20" s="10"/>
      <c r="G20" s="284"/>
      <c r="H20" s="103"/>
      <c r="I20" s="20"/>
      <c r="J20" s="230" t="s">
        <v>199</v>
      </c>
      <c r="K20" s="103" t="s">
        <v>200</v>
      </c>
      <c r="L20" s="10"/>
      <c r="M20" s="278"/>
      <c r="N20" s="10"/>
      <c r="P20" s="10"/>
    </row>
    <row r="21" spans="1:18" ht="19.5" customHeight="1" x14ac:dyDescent="0.25">
      <c r="A21" s="27">
        <v>16</v>
      </c>
      <c r="B21" s="11" t="s">
        <v>181</v>
      </c>
      <c r="C21" s="277" t="s">
        <v>67</v>
      </c>
      <c r="D21" s="286">
        <v>46202</v>
      </c>
      <c r="E21" s="32" t="s">
        <v>182</v>
      </c>
      <c r="F21" s="11"/>
      <c r="G21" s="282" t="s">
        <v>68</v>
      </c>
      <c r="H21" s="82"/>
      <c r="I21" s="293">
        <v>75</v>
      </c>
      <c r="J21" s="11" t="s">
        <v>183</v>
      </c>
      <c r="K21" s="12" t="s">
        <v>280</v>
      </c>
      <c r="L21" s="11"/>
      <c r="M21" s="277">
        <v>75</v>
      </c>
      <c r="N21" s="11" t="s">
        <v>35</v>
      </c>
      <c r="O21" s="6" t="s">
        <v>173</v>
      </c>
      <c r="P21" s="11"/>
    </row>
    <row r="22" spans="1:18" ht="19.5" customHeight="1" x14ac:dyDescent="0.25">
      <c r="A22" s="27">
        <v>17</v>
      </c>
      <c r="B22" s="6" t="s">
        <v>66</v>
      </c>
      <c r="C22" s="277"/>
      <c r="D22" s="287"/>
      <c r="E22" s="20" t="s">
        <v>57</v>
      </c>
      <c r="F22" s="6"/>
      <c r="G22" s="283"/>
      <c r="H22" s="83"/>
      <c r="I22" s="293"/>
      <c r="J22" s="6" t="s">
        <v>69</v>
      </c>
      <c r="K22" s="6" t="s">
        <v>70</v>
      </c>
      <c r="L22" s="6"/>
      <c r="M22" s="277"/>
      <c r="N22" s="6"/>
      <c r="O22" s="6" t="s">
        <v>269</v>
      </c>
      <c r="P22" s="6"/>
    </row>
    <row r="23" spans="1:18" ht="19.5" customHeight="1" x14ac:dyDescent="0.25">
      <c r="A23" s="27">
        <v>18</v>
      </c>
      <c r="B23" s="6" t="s">
        <v>117</v>
      </c>
      <c r="C23" s="277"/>
      <c r="D23" s="287"/>
      <c r="E23" s="20" t="s">
        <v>105</v>
      </c>
      <c r="F23" s="6"/>
      <c r="G23" s="283"/>
      <c r="H23" s="83"/>
      <c r="I23" s="293"/>
      <c r="J23" s="6" t="s">
        <v>118</v>
      </c>
      <c r="K23" s="6" t="s">
        <v>119</v>
      </c>
      <c r="L23" s="6"/>
      <c r="M23" s="277"/>
      <c r="N23" s="6" t="s">
        <v>35</v>
      </c>
      <c r="O23" s="6"/>
      <c r="P23" s="6"/>
      <c r="R23" t="s">
        <v>281</v>
      </c>
    </row>
    <row r="24" spans="1:18" ht="19.5" customHeight="1" x14ac:dyDescent="0.25">
      <c r="A24" s="27">
        <v>19</v>
      </c>
      <c r="B24" s="20" t="s">
        <v>136</v>
      </c>
      <c r="C24" s="277"/>
      <c r="D24" s="287"/>
      <c r="E24" s="20" t="s">
        <v>127</v>
      </c>
      <c r="F24" s="6"/>
      <c r="G24" s="283"/>
      <c r="H24" s="83"/>
      <c r="I24" s="293"/>
      <c r="J24" s="6" t="s">
        <v>137</v>
      </c>
      <c r="K24" s="6" t="s">
        <v>138</v>
      </c>
      <c r="L24" s="6"/>
      <c r="M24" s="277"/>
      <c r="N24" s="6" t="s">
        <v>35</v>
      </c>
      <c r="O24" s="6"/>
      <c r="P24" s="6"/>
    </row>
    <row r="25" spans="1:18" ht="19.5" customHeight="1" x14ac:dyDescent="0.25">
      <c r="A25" s="27">
        <v>20</v>
      </c>
      <c r="B25" s="6" t="s">
        <v>178</v>
      </c>
      <c r="C25" s="278"/>
      <c r="D25" s="288"/>
      <c r="E25" s="22" t="s">
        <v>164</v>
      </c>
      <c r="F25" s="10"/>
      <c r="G25" s="284"/>
      <c r="H25" s="84"/>
      <c r="I25" s="298"/>
      <c r="J25" s="10" t="s">
        <v>179</v>
      </c>
      <c r="K25" s="10" t="s">
        <v>180</v>
      </c>
      <c r="L25" s="10"/>
      <c r="M25" s="278"/>
      <c r="N25" s="10" t="s">
        <v>35</v>
      </c>
      <c r="O25" s="10"/>
      <c r="P25" s="10"/>
    </row>
    <row r="26" spans="1:18" ht="21.75" customHeight="1" x14ac:dyDescent="0.25">
      <c r="A26" s="27">
        <v>21</v>
      </c>
      <c r="B26" s="6" t="s">
        <v>71</v>
      </c>
      <c r="C26" s="277" t="s">
        <v>67</v>
      </c>
      <c r="D26" s="286">
        <v>46202</v>
      </c>
      <c r="E26" s="26" t="s">
        <v>57</v>
      </c>
      <c r="F26" s="11"/>
      <c r="G26" s="282" t="s">
        <v>282</v>
      </c>
      <c r="H26" s="306" t="s">
        <v>239</v>
      </c>
      <c r="I26" s="292">
        <v>24</v>
      </c>
      <c r="J26" s="13" t="s">
        <v>73</v>
      </c>
      <c r="K26" s="14" t="s">
        <v>74</v>
      </c>
      <c r="L26" s="11"/>
      <c r="M26" s="277">
        <v>27</v>
      </c>
      <c r="N26" s="11"/>
      <c r="O26" s="11" t="s">
        <v>271</v>
      </c>
      <c r="P26" s="11"/>
    </row>
    <row r="27" spans="1:18" ht="21.75" customHeight="1" x14ac:dyDescent="0.25">
      <c r="A27" s="27">
        <v>22</v>
      </c>
      <c r="B27" s="6" t="s">
        <v>170</v>
      </c>
      <c r="C27" s="277"/>
      <c r="D27" s="287"/>
      <c r="E27" s="20" t="s">
        <v>164</v>
      </c>
      <c r="F27" s="6"/>
      <c r="G27" s="283"/>
      <c r="H27" s="277"/>
      <c r="I27" s="293"/>
      <c r="J27" s="5" t="s">
        <v>171</v>
      </c>
      <c r="K27" s="7" t="s">
        <v>172</v>
      </c>
      <c r="L27" s="6"/>
      <c r="M27" s="277"/>
      <c r="N27" s="6"/>
      <c r="O27" s="6" t="s">
        <v>41</v>
      </c>
      <c r="P27" s="6"/>
    </row>
    <row r="28" spans="1:18" ht="21.75" customHeight="1" x14ac:dyDescent="0.25">
      <c r="A28" s="27">
        <v>23</v>
      </c>
      <c r="B28" s="6" t="s">
        <v>121</v>
      </c>
      <c r="C28" s="277"/>
      <c r="D28" s="287"/>
      <c r="E28" s="20" t="s">
        <v>105</v>
      </c>
      <c r="F28" s="6"/>
      <c r="G28" s="283"/>
      <c r="H28" s="282"/>
      <c r="I28" s="294"/>
      <c r="J28" s="5" t="s">
        <v>122</v>
      </c>
      <c r="K28" s="4" t="s">
        <v>243</v>
      </c>
      <c r="L28" s="6"/>
      <c r="M28" s="277"/>
      <c r="N28" s="6" t="s">
        <v>35</v>
      </c>
      <c r="O28" s="6"/>
      <c r="P28" s="6"/>
    </row>
    <row r="29" spans="1:18" ht="21.75" customHeight="1" x14ac:dyDescent="0.25">
      <c r="A29" s="27">
        <v>24</v>
      </c>
      <c r="B29" s="20" t="s">
        <v>191</v>
      </c>
      <c r="C29" s="277"/>
      <c r="D29" s="287"/>
      <c r="E29" s="23" t="s">
        <v>192</v>
      </c>
      <c r="F29" s="6"/>
      <c r="G29" s="283"/>
      <c r="H29" s="279" t="s">
        <v>283</v>
      </c>
      <c r="I29" s="297">
        <v>3</v>
      </c>
      <c r="J29" s="5" t="s">
        <v>193</v>
      </c>
      <c r="K29" s="7" t="s">
        <v>194</v>
      </c>
      <c r="L29" s="6"/>
      <c r="M29" s="277"/>
      <c r="N29" s="6" t="s">
        <v>35</v>
      </c>
      <c r="O29" s="6"/>
      <c r="P29" s="6"/>
    </row>
    <row r="30" spans="1:18" ht="21.75" customHeight="1" x14ac:dyDescent="0.25">
      <c r="A30" s="27">
        <v>25</v>
      </c>
      <c r="B30" s="11" t="s">
        <v>187</v>
      </c>
      <c r="C30" s="277"/>
      <c r="D30" s="287"/>
      <c r="E30" s="20" t="s">
        <v>182</v>
      </c>
      <c r="F30" s="6"/>
      <c r="G30" s="283"/>
      <c r="H30" s="277"/>
      <c r="I30" s="293"/>
      <c r="J30" s="5" t="s">
        <v>188</v>
      </c>
      <c r="K30" s="4" t="s">
        <v>189</v>
      </c>
      <c r="L30" s="6"/>
      <c r="M30" s="277"/>
      <c r="N30" s="6" t="s">
        <v>35</v>
      </c>
      <c r="O30" s="6"/>
      <c r="P30" s="6"/>
    </row>
    <row r="31" spans="1:18" ht="21.75" customHeight="1" x14ac:dyDescent="0.25">
      <c r="A31" s="27">
        <v>26</v>
      </c>
      <c r="B31" s="20" t="s">
        <v>139</v>
      </c>
      <c r="C31" s="278"/>
      <c r="D31" s="288"/>
      <c r="E31" s="22" t="s">
        <v>127</v>
      </c>
      <c r="F31" s="10"/>
      <c r="G31" s="284"/>
      <c r="H31" s="278"/>
      <c r="I31" s="298"/>
      <c r="J31" s="9" t="s">
        <v>140</v>
      </c>
      <c r="K31" s="15" t="s">
        <v>141</v>
      </c>
      <c r="L31" s="10"/>
      <c r="M31" s="278"/>
      <c r="N31" s="10" t="s">
        <v>26</v>
      </c>
      <c r="O31" s="10"/>
      <c r="P31" s="10"/>
    </row>
    <row r="32" spans="1:18" ht="21.75" customHeight="1" x14ac:dyDescent="0.25">
      <c r="A32" s="27">
        <v>27</v>
      </c>
      <c r="B32" s="11" t="s">
        <v>76</v>
      </c>
      <c r="C32" s="277" t="s">
        <v>77</v>
      </c>
      <c r="D32" s="286">
        <v>46202</v>
      </c>
      <c r="E32" s="26" t="s">
        <v>78</v>
      </c>
      <c r="F32" s="11"/>
      <c r="G32" s="282" t="s">
        <v>79</v>
      </c>
      <c r="H32" s="306" t="s">
        <v>79</v>
      </c>
      <c r="I32" s="292">
        <v>2</v>
      </c>
      <c r="J32" s="13" t="s">
        <v>80</v>
      </c>
      <c r="K32" s="13" t="s">
        <v>81</v>
      </c>
      <c r="L32" s="11"/>
      <c r="M32" s="277">
        <v>18</v>
      </c>
      <c r="N32" s="11" t="s">
        <v>26</v>
      </c>
      <c r="O32" s="11"/>
      <c r="P32" s="11"/>
    </row>
    <row r="33" spans="1:16" ht="21.75" customHeight="1" x14ac:dyDescent="0.25">
      <c r="A33" s="27">
        <v>28</v>
      </c>
      <c r="B33" s="6" t="s">
        <v>89</v>
      </c>
      <c r="C33" s="277"/>
      <c r="D33" s="287"/>
      <c r="E33" s="20" t="s">
        <v>90</v>
      </c>
      <c r="F33" s="6"/>
      <c r="G33" s="283"/>
      <c r="H33" s="277"/>
      <c r="I33" s="293"/>
      <c r="J33" s="5" t="s">
        <v>91</v>
      </c>
      <c r="K33" s="5" t="s">
        <v>92</v>
      </c>
      <c r="L33" s="6"/>
      <c r="M33" s="277"/>
      <c r="N33" s="6" t="s">
        <v>35</v>
      </c>
      <c r="O33" s="6"/>
      <c r="P33" s="6"/>
    </row>
    <row r="34" spans="1:16" ht="21.75" customHeight="1" x14ac:dyDescent="0.25">
      <c r="A34" s="27">
        <v>29</v>
      </c>
      <c r="B34" s="6" t="s">
        <v>96</v>
      </c>
      <c r="C34" s="277"/>
      <c r="D34" s="287"/>
      <c r="E34" s="20" t="s">
        <v>97</v>
      </c>
      <c r="F34" s="6"/>
      <c r="G34" s="283"/>
      <c r="H34" s="282"/>
      <c r="I34" s="294"/>
      <c r="J34" s="5" t="s">
        <v>98</v>
      </c>
      <c r="K34" s="5" t="s">
        <v>65</v>
      </c>
      <c r="L34" s="6"/>
      <c r="M34" s="277"/>
      <c r="N34" s="6" t="s">
        <v>26</v>
      </c>
      <c r="O34" s="6"/>
      <c r="P34" s="6"/>
    </row>
    <row r="35" spans="1:16" ht="21.75" customHeight="1" x14ac:dyDescent="0.25">
      <c r="A35" s="27">
        <v>30</v>
      </c>
      <c r="B35" s="6" t="s">
        <v>149</v>
      </c>
      <c r="C35" s="277"/>
      <c r="D35" s="287"/>
      <c r="E35" s="20" t="s">
        <v>150</v>
      </c>
      <c r="F35" s="6"/>
      <c r="G35" s="283"/>
      <c r="H35" s="295" t="s">
        <v>284</v>
      </c>
      <c r="I35" s="297">
        <v>16</v>
      </c>
      <c r="J35" s="5" t="s">
        <v>151</v>
      </c>
      <c r="K35" s="5" t="s">
        <v>152</v>
      </c>
      <c r="L35" s="6"/>
      <c r="M35" s="277"/>
      <c r="N35" s="6" t="s">
        <v>26</v>
      </c>
      <c r="O35" s="6"/>
      <c r="P35" s="6"/>
    </row>
    <row r="36" spans="1:16" ht="19.5" customHeight="1" x14ac:dyDescent="0.25">
      <c r="A36" s="27">
        <v>31</v>
      </c>
      <c r="B36" s="6" t="s">
        <v>142</v>
      </c>
      <c r="C36" s="277"/>
      <c r="D36" s="287"/>
      <c r="E36" s="20" t="s">
        <v>143</v>
      </c>
      <c r="F36" s="6"/>
      <c r="G36" s="283"/>
      <c r="H36" s="290"/>
      <c r="I36" s="293"/>
      <c r="J36" s="5" t="s">
        <v>144</v>
      </c>
      <c r="K36" s="5" t="s">
        <v>145</v>
      </c>
      <c r="L36" s="6"/>
      <c r="M36" s="277"/>
      <c r="N36" s="10" t="s">
        <v>35</v>
      </c>
      <c r="O36" s="6"/>
      <c r="P36" s="6"/>
    </row>
    <row r="37" spans="1:16" ht="19.5" customHeight="1" x14ac:dyDescent="0.25">
      <c r="A37" s="27">
        <v>32</v>
      </c>
      <c r="B37" s="20" t="s">
        <v>156</v>
      </c>
      <c r="C37" s="278"/>
      <c r="D37" s="288"/>
      <c r="E37" s="25" t="s">
        <v>157</v>
      </c>
      <c r="F37" s="10"/>
      <c r="G37" s="284"/>
      <c r="H37" s="296"/>
      <c r="I37" s="298"/>
      <c r="J37" s="9" t="s">
        <v>158</v>
      </c>
      <c r="K37" s="9" t="s">
        <v>159</v>
      </c>
      <c r="L37" s="10"/>
      <c r="M37" s="278"/>
      <c r="N37" s="10" t="s">
        <v>35</v>
      </c>
      <c r="O37" s="10"/>
      <c r="P37" s="10"/>
    </row>
    <row r="38" spans="1:16" ht="19.5" customHeight="1" x14ac:dyDescent="0.25">
      <c r="A38" s="27">
        <v>33</v>
      </c>
      <c r="B38" s="11" t="s">
        <v>85</v>
      </c>
      <c r="C38" s="277" t="s">
        <v>77</v>
      </c>
      <c r="D38" s="286">
        <v>46202</v>
      </c>
      <c r="E38" s="26" t="s">
        <v>78</v>
      </c>
      <c r="F38" s="11"/>
      <c r="G38" s="282" t="s">
        <v>86</v>
      </c>
      <c r="H38" s="289" t="s">
        <v>285</v>
      </c>
      <c r="I38" s="292">
        <v>34</v>
      </c>
      <c r="J38" s="11" t="s">
        <v>87</v>
      </c>
      <c r="K38" s="11" t="s">
        <v>88</v>
      </c>
      <c r="L38" s="11"/>
      <c r="M38" s="277">
        <v>56</v>
      </c>
      <c r="N38" s="11" t="s">
        <v>35</v>
      </c>
      <c r="O38" s="11"/>
      <c r="P38" s="11"/>
    </row>
    <row r="39" spans="1:16" ht="19.5" customHeight="1" x14ac:dyDescent="0.25">
      <c r="A39" s="27">
        <v>34</v>
      </c>
      <c r="B39" s="6" t="s">
        <v>101</v>
      </c>
      <c r="C39" s="277"/>
      <c r="D39" s="287"/>
      <c r="E39" s="20" t="s">
        <v>97</v>
      </c>
      <c r="F39" s="6"/>
      <c r="G39" s="283"/>
      <c r="H39" s="290"/>
      <c r="I39" s="293"/>
      <c r="J39" s="6" t="s">
        <v>102</v>
      </c>
      <c r="K39" s="6" t="s">
        <v>103</v>
      </c>
      <c r="L39" s="6"/>
      <c r="M39" s="277"/>
      <c r="N39" s="6" t="s">
        <v>35</v>
      </c>
      <c r="O39" s="6"/>
      <c r="P39" s="6"/>
    </row>
    <row r="40" spans="1:16" ht="19.5" customHeight="1" x14ac:dyDescent="0.25">
      <c r="A40" s="27">
        <v>35</v>
      </c>
      <c r="B40" s="6" t="s">
        <v>94</v>
      </c>
      <c r="C40" s="277"/>
      <c r="D40" s="287"/>
      <c r="E40" s="20" t="s">
        <v>90</v>
      </c>
      <c r="F40" s="6"/>
      <c r="G40" s="283"/>
      <c r="H40" s="291"/>
      <c r="I40" s="294"/>
      <c r="J40" s="6" t="s">
        <v>95</v>
      </c>
      <c r="K40" s="6" t="s">
        <v>25</v>
      </c>
      <c r="L40" s="6"/>
      <c r="M40" s="277"/>
      <c r="N40" s="6" t="s">
        <v>26</v>
      </c>
      <c r="O40" s="6"/>
      <c r="P40" s="6"/>
    </row>
    <row r="41" spans="1:16" ht="19.5" customHeight="1" x14ac:dyDescent="0.25">
      <c r="A41" s="27">
        <v>36</v>
      </c>
      <c r="B41" s="6" t="s">
        <v>153</v>
      </c>
      <c r="C41" s="277"/>
      <c r="D41" s="287"/>
      <c r="E41" s="20" t="s">
        <v>150</v>
      </c>
      <c r="F41" s="6"/>
      <c r="G41" s="283"/>
      <c r="H41" s="295" t="s">
        <v>286</v>
      </c>
      <c r="I41" s="297">
        <v>22</v>
      </c>
      <c r="J41" s="6" t="s">
        <v>154</v>
      </c>
      <c r="K41" s="6" t="s">
        <v>155</v>
      </c>
      <c r="L41" s="6"/>
      <c r="M41" s="277"/>
      <c r="N41" s="6" t="s">
        <v>26</v>
      </c>
      <c r="O41" s="6"/>
      <c r="P41" s="6"/>
    </row>
    <row r="42" spans="1:16" ht="19.5" customHeight="1" x14ac:dyDescent="0.25">
      <c r="A42" s="27">
        <v>37</v>
      </c>
      <c r="B42" s="6" t="s">
        <v>146</v>
      </c>
      <c r="C42" s="277"/>
      <c r="D42" s="287"/>
      <c r="E42" s="20" t="s">
        <v>143</v>
      </c>
      <c r="F42" s="6"/>
      <c r="G42" s="283"/>
      <c r="H42" s="290"/>
      <c r="I42" s="293"/>
      <c r="J42" s="6" t="s">
        <v>147</v>
      </c>
      <c r="K42" s="6" t="s">
        <v>148</v>
      </c>
      <c r="L42" s="6"/>
      <c r="M42" s="277"/>
      <c r="N42" s="11" t="s">
        <v>35</v>
      </c>
      <c r="O42" s="6"/>
      <c r="P42" s="6"/>
    </row>
    <row r="43" spans="1:16" ht="19.5" customHeight="1" x14ac:dyDescent="0.25">
      <c r="A43" s="27">
        <v>38</v>
      </c>
      <c r="B43" s="20" t="s">
        <v>160</v>
      </c>
      <c r="C43" s="278"/>
      <c r="D43" s="288"/>
      <c r="E43" s="25" t="s">
        <v>157</v>
      </c>
      <c r="F43" s="10"/>
      <c r="G43" s="284"/>
      <c r="H43" s="296"/>
      <c r="I43" s="298"/>
      <c r="J43" s="10" t="s">
        <v>161</v>
      </c>
      <c r="K43" s="10" t="s">
        <v>162</v>
      </c>
      <c r="L43" s="10"/>
      <c r="M43" s="278"/>
      <c r="N43" s="10" t="s">
        <v>26</v>
      </c>
      <c r="O43" s="10"/>
      <c r="P43" s="10"/>
    </row>
  </sheetData>
  <mergeCells count="52">
    <mergeCell ref="C11:C16"/>
    <mergeCell ref="G11:G16"/>
    <mergeCell ref="M11:M16"/>
    <mergeCell ref="H4:I4"/>
    <mergeCell ref="I11:I13"/>
    <mergeCell ref="H14:H15"/>
    <mergeCell ref="I14:I15"/>
    <mergeCell ref="H8:H9"/>
    <mergeCell ref="I8:I9"/>
    <mergeCell ref="A1:M1"/>
    <mergeCell ref="A2:M2"/>
    <mergeCell ref="C5:C10"/>
    <mergeCell ref="G5:G10"/>
    <mergeCell ref="M5:M10"/>
    <mergeCell ref="C17:C20"/>
    <mergeCell ref="G17:G20"/>
    <mergeCell ref="M17:M20"/>
    <mergeCell ref="C21:C25"/>
    <mergeCell ref="G21:G25"/>
    <mergeCell ref="M21:M25"/>
    <mergeCell ref="I21:I25"/>
    <mergeCell ref="C38:C43"/>
    <mergeCell ref="G38:G43"/>
    <mergeCell ref="M38:M43"/>
    <mergeCell ref="H5:H7"/>
    <mergeCell ref="I5:I7"/>
    <mergeCell ref="H11:H13"/>
    <mergeCell ref="C26:C31"/>
    <mergeCell ref="G26:G31"/>
    <mergeCell ref="M26:M31"/>
    <mergeCell ref="C32:C37"/>
    <mergeCell ref="G32:G37"/>
    <mergeCell ref="M32:M37"/>
    <mergeCell ref="H32:H34"/>
    <mergeCell ref="H26:H28"/>
    <mergeCell ref="I26:I28"/>
    <mergeCell ref="H29:H31"/>
    <mergeCell ref="I29:I31"/>
    <mergeCell ref="D5:D10"/>
    <mergeCell ref="D11:D16"/>
    <mergeCell ref="D17:D20"/>
    <mergeCell ref="D21:D25"/>
    <mergeCell ref="D26:D31"/>
    <mergeCell ref="D32:D37"/>
    <mergeCell ref="D38:D43"/>
    <mergeCell ref="H38:H40"/>
    <mergeCell ref="I38:I40"/>
    <mergeCell ref="H41:H43"/>
    <mergeCell ref="I41:I43"/>
    <mergeCell ref="H35:H37"/>
    <mergeCell ref="I32:I34"/>
    <mergeCell ref="I35:I37"/>
  </mergeCells>
  <pageMargins left="0.7" right="0.7" top="0.75" bottom="0.75" header="0.3" footer="0.3"/>
  <pageSetup paperSize="9" scale="62" fitToWidth="0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17ac19-5cce-4725-aa7f-f99edb027f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6B36FC7DCE3143A7DFDE28F5FE6258" ma:contentTypeVersion="5" ma:contentTypeDescription="Create a new document." ma:contentTypeScope="" ma:versionID="3af43511ff7a6822117d8e113cb64a71">
  <xsd:schema xmlns:xsd="http://www.w3.org/2001/XMLSchema" xmlns:xs="http://www.w3.org/2001/XMLSchema" xmlns:p="http://schemas.microsoft.com/office/2006/metadata/properties" xmlns:ns3="7917ac19-5cce-4725-aa7f-f99edb027f0d" targetNamespace="http://schemas.microsoft.com/office/2006/metadata/properties" ma:root="true" ma:fieldsID="e8e27c5c3e1348464ae9667d07fd4491" ns3:_="">
    <xsd:import namespace="7917ac19-5cce-4725-aa7f-f99edb027f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17ac19-5cce-4725-aa7f-f99edb027f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5A25065-DF56-46CD-A365-600E833BE516}">
  <ds:schemaRefs>
    <ds:schemaRef ds:uri="http://schemas.microsoft.com/office/2006/metadata/properties"/>
    <ds:schemaRef ds:uri="http://schemas.microsoft.com/office/infopath/2007/PartnerControls"/>
    <ds:schemaRef ds:uri="7917ac19-5cce-4725-aa7f-f99edb027f0d"/>
  </ds:schemaRefs>
</ds:datastoreItem>
</file>

<file path=customXml/itemProps2.xml><?xml version="1.0" encoding="utf-8"?>
<ds:datastoreItem xmlns:ds="http://schemas.openxmlformats.org/officeDocument/2006/customXml" ds:itemID="{59F5D159-98D9-4943-845E-1222C9341E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17ac19-5cce-4725-aa7f-f99edb027f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E63F57F-B8A3-45D7-B1E7-FE153715652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Duty Schedule</vt:lpstr>
      <vt:lpstr>Day Plan</vt:lpstr>
      <vt:lpstr>Batch Plan</vt:lpstr>
      <vt:lpstr>Setup Plan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Thilanka Weerasinghe</dc:creator>
  <cp:keywords/>
  <dc:description/>
  <cp:lastModifiedBy>Thilanka Weerasinghe</cp:lastModifiedBy>
  <cp:revision/>
  <dcterms:created xsi:type="dcterms:W3CDTF">2026-04-28T05:41:52Z</dcterms:created>
  <dcterms:modified xsi:type="dcterms:W3CDTF">2026-07-02T05:27:46Z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0x010100946B36FC7DCE3143A7DFDE28F5FE6258</vt:lpwstr>
  </property>
</Properties>
</file>